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Pencarian Manual" sheetId="2" r:id="rId6"/>
    <sheet state="visible" name="Komparasi Konektor"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tc={a20308f1-40cf-4eeb-8a7a-6d2d9e97f70d}</author>
  </authors>
  <commentList>
    <comment authorId="0" ref="I25">
      <text>
        <t xml:space="preserve">ILOSTAT Data Explorer
Reference area	Source	Sex	Currency	Year	Value
France	HIES - EU Statistics on Income and Living Conditions	Total	U.S. dollars	2025	5023.6
France	LFS - Employment Survey	Total	U.S. dollars	2024	2378
France	LFS - Employment Survey	Total	U.S. dollars	2023	2286.8
France	LFS - Employment Survey	Total	U.S. dollars	2022	2135.3
France	LFS - Employment Survey	Total	U.S. dollars	2021	2348.6
France	LFS - Employment Survey	Total	U.S. dollars	2020	2302.2
France	LFS - Employment Survey	Total	U.S. dollars	2019	2223.6</t>
      </text>
    </comment>
    <comment authorId="0" ref="I33">
      <text>
        <t xml:space="preserve">ILOSTAT Data Explorer
Reference area	Source	Sex	Year	Value
South Africa	LFS - Quarterly Labour Force Survey	Total	2024	34.6
South Africa	LFS - Quarterly Labour Force Survey	Total	2023	34
South Africa	LFS - Quarterly Labour Force Survey	Total	2022	35.2
South Africa	LFS - Quarterly Labour Force Survey	Total	2021	32.9
South Africa	LFS - Quarterly Labour Force Survey	Total	2020	32.4
South Africa	LFS - Quarterly Labour Force Survey	Total	2019	32.5
South Africa	LFS - Quarterly Labour Force Survey	Total	2018	31.6</t>
      </text>
    </comment>
    <comment authorId="0" ref="I16">
      <text>
        <t xml:space="preserve">| Country       |  2017 | 2025 |      Change | Improvement |
| ------------- | ----: | ---: | ----------: | ----------: |
| **Brazil**    | 12.8% | 5.8% | **−7.0 pp** |  **7.0 pp** |
| **Argentina** |  8.3% | 7.4% | **−0.9 pp** |  **0.9 pp** |
</t>
      </text>
    </comment>
    <comment authorId="0" ref="I15">
      <text>
        <t xml:space="preserve">ILOSTAT Data Explorer
Reference area	Source	Sex	Age	Year	Value
Germany	LFS - EU Labour Force Survey	Total	15+	2023	3
Germany	LFS - EU Labour Force Survey	Total	15+	2022	3.1
Germany	LFS - EU Labour Force Survey	Total	15+	2021	3.5
Germany	LFS - EU Labour Force Survey	Total	15+	2020	3.9
Germany	LFS - EU Labour Force Survey	Total	15+	2019	3.2
Germany	LFS - EU Labour Force Survey	Total	15+	2018	3.4
Germany	LFS - EU Labour Force Survey	Total	15+	2017	3.8
Germany	LFS - EU Labour Force Survey	Total	15+	2016	4.1
Germany	LFS - EU Labour Force Survey	Total	15+	2015	4.6
France	LFS - Employment Survey	Total	15+	2023	7.3
France	LFS - Employment Survey	Total	15+	2022	7.3
France	LFS - Employment Survey	Total	15+	2021	7.9
France	LFS - Employment Survey	Total	15+	2020	8
France	LFS - Employment Survey	Total	15+	2019	8.4
France	LFS - Employment Survey	Total	15+	2018	9
France	LFS - Employment Survey	Total	15+	2017	9.4
France	LFS - Employment Survey	Total	15+	2016	10.1
France	LFS - Employment Survey	Total	15+	2015	10.4</t>
      </text>
    </comment>
    <comment authorId="0" ref="I13">
      <text>
        <t xml:space="preserve">| Tahun    | Unemployment rate | Perubahan YoY |
| -------- | ----------------: | ------------: |
| 2015     |             11.9% |             — |
| 2016     |             11.7% |      ↓ 0.2 pp |
| 2017     |             11.2% |      ↓ 0.5 pp |
| 2018     |             10.5% |      ↓ 0.7 pp |
| 2019     |              9.9% |      ↓ 0.6 pp |
| **2020** |          **9.2%** |  **↓ 0.7 pp** |
| 2021     |              9.5% |  **↑ 0.3 pp** |
| 2022     |              8.1% |  **↓ 1.4 pp** |
| 2023     |              7.6% |  **↓ 0.5 pp** |
| 2024     |              6.5% |  **↓ 1.1 pp** |
</t>
      </text>
    </comment>
    <comment authorId="0" ref="I29">
      <text>
        <t xml:space="preserve">ILOSTAT Data Explorer
Reference area	Source	Sex	Currency	Year	Value
Thailand	LFS - Labour Force Survey	Total	U.S. dollars	2025	507.8
Thailand	LFS - Labour Force Survey	Total	U.S. dollars	2024	468
Thailand	LFS - Labour Force Survey	Total	U.S. dollars	2023	475.7
Thailand	LFS - Labour Force Survey	Total	U.S. dollars	2022	467.3
Thailand	LFS - Labour Force Survey	Total	U.S. dollars	2021	485.8
Thailand	LFS - Labour Force Survey	Total	U.S. dollars	2020	490.3
Thailand	LFS - Labour Force Survey	Total	U.S. dollars	2019	487.3
Thailand	LFS - Labour Force Survey	Total	U.S. dollars	2018	461.9
Thailand	LFS - Labour Force Survey	Total	U.S. dollars	2017	434.4
Thailand	LFS - Labour Force Survey	Total	U.S. dollars	2016	417.4
Thailand	LFS - Labour Force Survey	Total	U.S. dollars	2015	324.3
Viet Nam	LFS - Labour Force Survey	Total	U.S. dollars	2024	355
Viet Nam	LFS - Labour Force Survey	Total	U.S. dollars	2023	330.2
Viet Nam	LFS - Labour Force Survey	Total	U.S. dollars	2022	320.6
Viet Nam	LFS - Labour Force Survey	Total	U.S. dollars	2021	291.3
Viet Nam	LFS - Labour Force Survey	Total	U.S. dollars	2020	296.2
Viet Nam	LFS - Labour Force Survey	Total	U.S. dollars	2019	288.3
Viet Nam	LFS - Labour Force Survey	Total	U.S. dollars	2018	254.9
Viet Nam	LFS - Labour Force Survey	Total	U.S. dollars	2017	239.6
Viet Nam	LFS - Labour Force Survey	Total	U.S. dollars	2016	248.8
Viet Nam	LFS - Labour Force Survey	Total	U.S. dollars	2015	235.1</t>
      </text>
    </comment>
    <comment authorId="0" ref="I27">
      <text>
        <t xml:space="preserve">The pattern is fairly clear:
2011–2014: strong increase, from $2,583 to $2,975.
2015: temporary decline to $2,872.
2016–2019: sustained growth, reaching $3,344.9 in 2019.
2020: modest decline to $3,286.1, coinciding with the COVID period.
2021: strong rebound to $3,483.5, the highest value in your series.</t>
      </text>
    </comment>
    <comment authorId="0" ref="I26">
      <text>
        <t xml:space="preserve">Calculation
2015 wage: US$3,082.4
2022 wage: US$4,646.5
Period: 7 years
Total growth: +50.7%
CAGR: 6.04% per year
In other words, Germany's wage level increased by about 1.51× between 2015 and 2022, equivalent to a 6.0% compounded annual increase.</t>
      </text>
    </comment>
    <comment authorId="1" xr:uid="{a20308f1-40cf-4eeb-8a7a-6d2d9e97f70d}" ref="I25">
      <text>
        <t xml:space="preserve">[Threaded comment]
 Your version of Excel allows you to read this threaded comment; however, any edits to it will get removed if the file is opened in a newer version of Excel. Learn more: https://go.microsoft.com/fwlink/?linkid=870924
Comment:
	France's comparable ILOSTAT LFS wage measure increased by about 6.9% between 2019 and 2024, but the 2025 HIES observation should not be used to calculate the LFS wage-growth rate.
</t>
      </text>
    </comment>
  </commentList>
</comments>
</file>

<file path=xl/sharedStrings.xml><?xml version="1.0" encoding="utf-8"?>
<sst xmlns="http://schemas.openxmlformats.org/spreadsheetml/2006/main" count="542" uniqueCount="356">
  <si>
    <t>Data Quality Audit: ILOSTAT Connector Benchmark (n=30)</t>
  </si>
  <si>
    <t>1. Overall Match Rate</t>
  </si>
  <si>
    <t>Verdict</t>
  </si>
  <si>
    <t>Count</t>
  </si>
  <si>
    <t>%</t>
  </si>
  <si>
    <t>Sesuai (Match)</t>
  </si>
  <si>
    <t>Parsial (Partial)</t>
  </si>
  <si>
    <t>Tidak (No match)</t>
  </si>
  <si>
    <t>N/A (Connector couldn't answer)</t>
  </si>
  <si>
    <t>Headline finding: raw match rate (63%) understates actual reliability. When I re-classify by root cause rather than surface disagreement, the picture changes substantially — see §2.</t>
  </si>
  <si>
    <t>2. Root-Cause Reclassification</t>
  </si>
  <si>
    <t>Surface-level "Parsial"/"Tidak" hides very different failure modes. Treating them as one bucket would misdirect remediation effort. Breaking the 9 non-Sesuai cases down:</t>
  </si>
  <si>
    <t>Root cause</t>
  </si>
  <si>
    <t>Test cases</t>
  </si>
  <si>
    <t>Is this a connector defect?</t>
  </si>
  <si>
    <t>A. Currency denomination (local vs. USD)</t>
  </si>
  <si>
    <t>Spain vs Italy*, France wage growth, Thailand vs Vietnam wage growth</t>
  </si>
  <si>
    <t>No — both outputs are individually correct; divergence is a unit-of-measure artifact, not a data error</t>
  </si>
  <si>
    <t>B. Dataflow/indicator not exposed to connector</t>
  </si>
  <si>
    <t>Nigeria (19th vs 13th ICLS), South Africa youth ×2</t>
  </si>
  <si>
    <t>Yes — coverage gap. Connector silently returns a different (older/narrower) indicator without surfacing that a mismatch is likely</t>
  </si>
  <si>
    <t>C. Data staleness (connector lags real-time)</t>
  </si>
  <si>
    <t>Malaysia snapshot</t>
  </si>
  <si>
    <t>Yes — coverage gap. Connector missing 2023–2025 for MYS unemployment and 2021+ for MYS wages</t>
  </si>
  <si>
    <t>D. Unresolved numeric discrepancy</t>
  </si>
  <si>
    <t>Spain 2022 (13.02% vs manual ~15%)</t>
  </si>
  <si>
    <t>Unclear — flagged but never root-caused in the transcript. This is the one case that still needs investigation.</t>
  </si>
  <si>
    <t>E. Ambiguous prompt → different but internally valid scope</t>
  </si>
  <si>
    <t>Brazil vs Argentina (base year choice)</t>
  </si>
  <si>
    <t>No — this is a prompt-specificity issue, not a tool defect</t>
  </si>
  <si>
    <t>*Spain vs Italy is double-counted conceptually — it has both a currency-adjacent note ("hasil akhir benar, tapi data tahun tidak sama") and points toward category D. I'm treating it under D-adjacent since the reviewer note explicitly says the year didn't line up, not the currency.</t>
  </si>
  <si>
    <t>Reclassified severity:</t>
  </si>
  <si>
    <t>True defects requiring fix (B + C + D): 5 of 30 = 16.7%</t>
  </si>
  <si>
    <t>Not defects, just unit/scope differences the connector should proactively flag (A + E): 4 of 30 = 13.3%</t>
  </si>
  <si>
    <t>Genuine matches: 19 of 30 = 63.3%</t>
  </si>
  <si>
    <t>Effective "trustworthy or explainably-divergent" rate: 23/30 = 76.7%</t>
  </si>
  <si>
    <t>3. Pattern Analysis — Systematic Issues</t>
  </si>
  <si>
    <t>Pattern 1: Currency defaulting is the single largest source of apparent disagreement</t>
  </si>
  <si>
    <t>Occurred in at least 8 of 30 tests (Singapore wage, Thailand wage, Germany CAGR, France wage growth, Thailand vs Vietnam, Singapore vs Malaysia, Spain vs Italy, France wage latest) — though most were caught and reconciled within the conversation, not by the connector proactively. The connector defaults to local currency (national currency, unit_measure: CR) while manual ILOSTAT Data Explorer users frequently pull the USD-converted view. Every single one of these reconciled cleanly once currency was checked — meaning the connector's raw numbers are accurate, but its default output format systematically diverges from what manual reviewers expect to see, and — critically — currency choice can flip directional conclusions (Thailand vs Vietnam wage-growth winner, Singapore vs Malaysia growth-winner), which is a materiality risk, not just a cosmetic one.</t>
  </si>
  <si>
    <t>Recommendation: The connector should either (a) default to reporting both local currency and USD side-by-side, or (b) explicitly state "this figure is in local currency; ILOSTAT also publishes a USD-converted series" on every wage query. Relying on the analyst to notice the gap after the fact (as happened here) is not a scalable QA posture.</t>
  </si>
  <si>
    <t>Pattern 2: Silent indicator substitution on coverage gaps</t>
  </si>
  <si>
    <t>Nigeria and South Africa youth unemployment are the two clearest connector failures (Tidak). In both cases the connector either returned data from a different methodological standard (13th ICLS vs. the 19th ICLS the manual source used) or the wrong indicator entirely (total unemployment presented in place of youth unemployment, in the South-Africa-2021 case).</t>
  </si>
  <si>
    <t>The South Africa case is the more serious of the two: the connector didn't just lack data — it substituted a related-but-wrong number (total unemployment, 34.01%) without adequate warning that this was not what was asked for, prompting the user to have to catch the substitution. That is a higher-severity failure than "no data available," because it risks being taken at face value.</t>
  </si>
  <si>
    <t>Recommendation: Any time the connector cannot serve the exact requested breakdown (age band, sex, disaggregation), it should return no figure at all with an explicit "not available for this age group" message — never silently supply an adjacent aggregate as if it answers the question. To the tool's credit, it did do this correctly in the second South Africa test (youth trend, correctly returned N/A) — so the behavior is inconsistent rather than absent.</t>
  </si>
  <si>
    <t>Pattern 3: Recency lag</t>
  </si>
  <si>
    <t>Malaysia's snapshot test exposed that the connector's unemployment series stopped at 2022 and wage series stopped at 2020, while the manual ground truth had 2024 data plus indicators (participation rate, employment level, sector mix, vacancies) the connector's dataflow doesn't carry at all. This isn't a wrong-answer risk so much as an incompleteness risk — the connector will confidently deliver a "snapshot" that is silently 2–4 years stale and missing entire indicator categories, unless the user knows to ask "is this current?"</t>
  </si>
  <si>
    <t>Recommendation: Connector responses should carry a standard "as-of" freshness marker, and ideally a manifest of what indicator categories it does/doesn't have access to at all (participation rate, employment counts, vacancies), so users don't assume completeness by omission.</t>
  </si>
  <si>
    <t>Pattern 4: One unresolved discrepancy (Spain 2022)</t>
  </si>
  <si>
    <t>This is the one case in the whole benchmark where a same-currency, same-nominal-indicator comparison still didn't reconcile (connector: 13.02%, manual: ~15% per the reviewer note) and — unlike every other divergence in this set — no explanation was ever surfaced in the transcript. Every other Parsial/Tidak case has a traceable, explainable cause; this one doesn't yet.</t>
  </si>
  <si>
    <t>This is the highest-priority open item from the audit. Recommend re-running this specific query and manually cross-checking against the ILOSTAT Data Explorer UI directly (same approach used to resolve Nigeria/Pakistan/Thailand) before concluding whether it's a genuine connector error, a manual entry error, or another unflagged methodology difference.</t>
  </si>
  <si>
    <t>4. Notable Strength: Self-Correcting Behavior</t>
  </si>
  <si>
    <t>Worth flagging as a positive finding, not just deficiencies: in nearly every Parsial case, the connector (when shown the manual result) correctly diagnosed its own divergence — identifying currency effects, base-year mismatches, and ICLS standard differences accurately, and in the Brazil/Argentina and Thailand/Vietnam cases, correctly conceded that the manual framing was methodologically superior rather than defending its own output. This reconciliation capability is a real asset, but it's a reactive one — it only triggered because a human brought a second data point to compare against. It did not proactively surface any of these caveats (currency choice, base-year sensitivity) at first-answer time, which is the gap worth closing.</t>
  </si>
  <si>
    <t>5. Recommendations Summary</t>
  </si>
  <si>
    <t>Priority</t>
  </si>
  <si>
    <t>Action</t>
  </si>
  <si>
    <t>High</t>
  </si>
  <si>
    <t>Investigate the unresolved Spain 2022 discrepancy (13.02% vs ~15%) — only unexplained numeric gap in the set</t>
  </si>
  <si>
    <t>Fix silent indicator substitution (South Africa 2021 youth case) — never return an adjacent aggregate without explicit refusal framing</t>
  </si>
  <si>
    <t>Medium</t>
  </si>
  <si>
    <t>Default wage queries to show both local currency and USD, or explicitly flag currency choice as a variable that can change conclusions</t>
  </si>
  <si>
    <t>Add data freshness/"as-of" labeling and a declared indicator-coverage manifest to prevent silent staleness (Malaysia case)</t>
  </si>
  <si>
    <t>Low</t>
  </si>
  <si>
    <t>For trend/growth questions spanning ambiguous periods, prompt for or state the assumed base year explicitly before computing</t>
  </si>
  <si>
    <t>Bottom line: The connector's core data retrieval is accurate — every reconciled discrepancy traced back to a legitimate, explainable methodological or unit-of-measure choice, not a computational error. The real risk surface is presentation and disclosure, not correctness: currency defaults, silent indicator gaps, and staleness are what turn a technically-correct answer into a misleading one if the user doesn't independently cross-check, as was done throughout this benchmark.</t>
  </si>
  <si>
    <t>Pencarian Manual — 30 Pertanyaan Benchmark ILOSTAT</t>
  </si>
  <si>
    <t>Komparasi Hasil Manual vs. ILOSTAT Connector</t>
  </si>
  <si>
    <t>Kolom abu-abu terhubung ke hasil manual; kolom biru diisi dari connector; kolom kuning diisi reviewer.</t>
  </si>
  <si>
    <t>Isi sel kuning. Pertahankan pertanyaan uji apa adanya agar hasil dapat dibandingkan secara konsisten.</t>
  </si>
  <si>
    <t>Total uji</t>
  </si>
  <si>
    <t>Test ID</t>
  </si>
  <si>
    <t>Manual selesai</t>
  </si>
  <si>
    <t>Indicator</t>
  </si>
  <si>
    <t>Query type</t>
  </si>
  <si>
    <t>Pertanyaan uji</t>
  </si>
  <si>
    <t>Negara/entitas</t>
  </si>
  <si>
    <t>Periode diminta</t>
  </si>
  <si>
    <t>Expected connector output</t>
  </si>
  <si>
    <t>Sesuai</t>
  </si>
  <si>
    <t>Status manual</t>
  </si>
  <si>
    <t>Jawaban manual (ringkas)</t>
  </si>
  <si>
    <t>Belum diuji</t>
  </si>
  <si>
    <t>Nilai/seri manual</t>
  </si>
  <si>
    <t>Unit</t>
  </si>
  <si>
    <t>Tahun data</t>
  </si>
  <si>
    <t>Kode indikator/dataset</t>
  </si>
  <si>
    <t>Sumber/URL</t>
  </si>
  <si>
    <t>Sumber survei/metode</t>
  </si>
  <si>
    <t>Methodology break/caveat</t>
  </si>
  <si>
    <t>Jawaban manual</t>
  </si>
  <si>
    <t>Tanggal pencarian</t>
  </si>
  <si>
    <t>Catatan peneliti</t>
  </si>
  <si>
    <t>ILO-01</t>
  </si>
  <si>
    <t>Tahun manual</t>
  </si>
  <si>
    <t>Jawaban connector</t>
  </si>
  <si>
    <t>Unemployment</t>
  </si>
  <si>
    <t>Kecocokan jawaban</t>
  </si>
  <si>
    <t>Durasi claude</t>
  </si>
  <si>
    <t>Single point</t>
  </si>
  <si>
    <t>Notes</t>
  </si>
  <si>
    <t>What was Malaysia's unemployment rate in 2022?</t>
  </si>
  <si>
    <t>Malaysia</t>
  </si>
  <si>
    <t>2022</t>
  </si>
  <si>
    <t>Satu angka (%) untuk 2022 dan nama sumber survei.</t>
  </si>
  <si>
    <t>Selesai</t>
  </si>
  <si>
    <t>https://ilostat.ilo.org/data/snapshots/unemployment-rate/</t>
  </si>
  <si>
    <t>Based on previous standards and definitions (13th ICLS).</t>
  </si>
  <si>
    <t>Source: Labour Force Statistics (LFS) database, ILOSTAT</t>
  </si>
  <si>
    <t>ILO-02</t>
  </si>
  <si>
    <t>10 detik</t>
  </si>
  <si>
    <t>What is France's current unemployment rate?</t>
  </si>
  <si>
    <t>France</t>
  </si>
  <si>
    <t>Latest available</t>
  </si>
  <si>
    <t>Angka tahun terbaru; tahun dan sumber survei disebutkan.</t>
  </si>
  <si>
    <t>https://ilostat.ilo.org/data/country-profiles/fra/</t>
  </si>
  <si>
    <t>Employment Survey, 2025, 2026Q1</t>
  </si>
  <si>
    <t>19th ICLS</t>
  </si>
  <si>
    <t>ILO-03</t>
  </si>
  <si>
    <t>Did Brazil's unemployment go up or down in 2018?</t>
  </si>
  <si>
    <t>Brazil</t>
  </si>
  <si>
    <t>15 detik</t>
  </si>
  <si>
    <t>2017-2018</t>
  </si>
  <si>
    <t>Nilai 2017 dan 2018 serta arah perubahan.</t>
  </si>
  <si>
    <t>YES. 
2019: 11.9%
2018: 12.3%</t>
  </si>
  <si>
    <t>https://rshiny.ilo.org/dataexplorer71/?lang=en&amp;segment=indicator&amp;id=UNE_5EAP_SEX_AGE_RT_A&amp;ref_area=BRA</t>
  </si>
  <si>
    <t>HS - Continuous National Household Sample Survey</t>
  </si>
  <si>
    <t>ILO-04</t>
  </si>
  <si>
    <t>Time series</t>
  </si>
  <si>
    <t>Show me Spain's unemployment rate from 2010 to 2023</t>
  </si>
  <si>
    <t xml:space="preserve">
2019: 11.9%
2018: 12.3%</t>
  </si>
  <si>
    <t>Spain</t>
  </si>
  <si>
    <t>2010-2023</t>
  </si>
  <si>
    <t>Seri tahunan dan peringatan jika ada perubahan metodologi.</t>
  </si>
  <si>
    <t>2023: 12.2%
2022: 15%
2021: 14.9%
2020: 15.5%
2019: 14.1%
2018: 15.3%
2017: 17.2%
2016: 19.6%
2015: 22.1%
2014: 24.4%</t>
  </si>
  <si>
    <t>16 detik</t>
  </si>
  <si>
    <t>2014-2023</t>
  </si>
  <si>
    <t>LFS - EU Labour Force Survey</t>
  </si>
  <si>
    <t>data tersedia dari 2014</t>
  </si>
  <si>
    <t>ILO-05</t>
  </si>
  <si>
    <t>How has Thailand's unemployment changed over the last decade?</t>
  </si>
  <si>
    <t>Thailand</t>
  </si>
  <si>
    <t>Last 10 available years</t>
  </si>
  <si>
    <t>Seri 10 tahun tersedia dan status seri bersih/bermasalah.</t>
  </si>
  <si>
    <t xml:space="preserve">2025        0,604
2024        0,781
2023        0,733
2022        0,94
2021        1,215
2020        1,099
2019        0,716
2018        0,765
2017        0,83
2016        0,688
2015        0,597
</t>
  </si>
  <si>
    <t>2015-2025</t>
  </si>
  <si>
    <t>sesuai kecuali tahun 2022, hasil claude: 13.02%</t>
  </si>
  <si>
    <r>
      <rPr>
        <rFont val="Arial"/>
        <color rgb="FF243447"/>
        <sz val="10.0"/>
      </rPr>
      <t xml:space="preserve">- https://ilostat.ilo.org/data/country-profiles/tha/
- </t>
    </r>
    <r>
      <rPr>
        <rFont val="Arial"/>
        <color rgb="FF1155CC"/>
        <sz val="10.0"/>
        <u/>
      </rPr>
      <t>https://rshiny.ilo.org/dataexplorer32/?lang=en&amp;segment=indicator&amp;id=UNE_DEAP_SEX_AGE_RT_A&amp;ref_area=THA</t>
    </r>
  </si>
  <si>
    <t>Parsial</t>
  </si>
  <si>
    <t>20 detik</t>
  </si>
  <si>
    <t>LFS - Labour Force Survey</t>
  </si>
  <si>
    <t>n/a</t>
  </si>
  <si>
    <t>ILO-06</t>
  </si>
  <si>
    <t>What was Nigeria's unemployment each year between 2015 and 2022?</t>
  </si>
  <si>
    <t>Nigeria</t>
  </si>
  <si>
    <t>2015-2022</t>
  </si>
  <si>
    <t>Seri tahunan; peringatan break pada 2019 akibat perubahan sumber survei.</t>
  </si>
  <si>
    <t>2019: 9.1%
2022: 5.1%</t>
  </si>
  <si>
    <t>Year	Your value	My value (ILOSTAT)
2025	0.604	0.604 ✓
2024	0.781	0.781 ✓
2023	0.733	0.733 ✓
2022	0.94	0.94 ✓
2021	1.215	1.215 ✓
2020	1.099	1.099 ✓
2019	0.716	0.716 ✓
2018	0.765	0.766 (rounding)
2017	0.83	0.83 ✓
2016	0.688	0.688 ✓
2015	0.597	0.597 ✓</t>
  </si>
  <si>
    <t>2019 and 2022</t>
  </si>
  <si>
    <t>https://rshiny.ilo.org/dataexplorer67/?lang=en&amp;segment=indicator&amp;id=UNE_5EAP_SEX_AGE_RT_A&amp;ref_area=NGA</t>
  </si>
  <si>
    <t>2019: HIES - Living Standards Survey
2022: LFS - Unemployment, Under-employment Watch</t>
  </si>
  <si>
    <t>ILO-07</t>
  </si>
  <si>
    <t>Year-on-year change</t>
  </si>
  <si>
    <t>What was the year-on-year change in Germany's unemployment from 2021 to 2022?</t>
  </si>
  <si>
    <t>Germany</t>
  </si>
  <si>
    <t>2021-2022</t>
  </si>
  <si>
    <t>Perubahan percentage point dan kedua nilai pembentuknya.</t>
  </si>
  <si>
    <t>−0.4 percentage points (pp)</t>
  </si>
  <si>
    <t>2019        4.45%        HIES - Living Standards Survey
2022	3.83%	LFS - Unemployment, Under-employment Watch</t>
  </si>
  <si>
    <t>https://rshiny.ilo.org/dataexplorer87/?lang=en&amp;segment=indicator&amp;id=UNE_5EAP_SEX_AGE_RT_A&amp;ref_area=DEU</t>
  </si>
  <si>
    <t>Tidak</t>
  </si>
  <si>
    <t>17 detik</t>
  </si>
  <si>
    <t>That gap likely comes from a **different underlying data series**, not an error on either side. A few likely explanations:
1. **Modelled vs. survey-based estimates**: ILOSTAT publishes two types of unemployment series — raw national survey observations (what I pulled, from Nigeria's LFS/HIES surveys) and **ILO modelled estimates**, which smooth/interpolate across countries and years to make cross-country comparisons possible and to fill gaps like Nigeria's missing 2018/2020/2021. Your 9.1% (2019) and 5.1% (2022) look like they could be from that modelled series (or from World Bank's own ILO-modelled dataset, which many dashboards cite) rather than the direct national survey figures.
2. **Methodology break I flagged**: Nigeria's raw data itself switches source between LFS and HIES around 2019, which alone makes the "true" 2019 figure ambiguous depending on which survey is used.
Unfortunately the ILOSTAT MCP tool I have access to only exposes the **survey-based observation dataflow** (`DF_UNE_DEAP_SEX_AGE_RT`) — it doesn't have a modelled-estimates dataflow available, so I can't directly cross-check your 9.1%/5.1% figures against ILO's modelled series from here.
If you can tell me where your 9.1%/5.1% numbers came from (World Bank, Trading Economics, IMF, a specific ILOSTAT table name), I can help reconcile the two more precisely.</t>
  </si>
  <si>
    <t>ILO-08</t>
  </si>
  <si>
    <t>Compound growth</t>
  </si>
  <si>
    <t>What's the CAGR of Pakistan's unemployment from 2010 to 2020?</t>
  </si>
  <si>
    <t>Pakistan</t>
  </si>
  <si>
    <t>2010-2020</t>
  </si>
  <si>
    <t>CAGR disertai peringatan bahwa terdapat 5 methodology breaks.</t>
  </si>
  <si>
    <t>N/A</t>
  </si>
  <si>
    <t>Change: −0.44 percentage points (a decrease)</t>
  </si>
  <si>
    <t>latest data available only from 2025: 7.1%</t>
  </si>
  <si>
    <t>ILO-09</t>
  </si>
  <si>
    <t>Trend</t>
  </si>
  <si>
    <t>Is Italy's unemployment trending up or down since 2015?</t>
  </si>
  <si>
    <t>Italy</t>
  </si>
  <si>
    <t>2015-latest</t>
  </si>
  <si>
    <t>Arah tren, slope, dan kualitas fit pada data tersedia.</t>
  </si>
  <si>
    <t>Italy mengalami penurunan unemployment rate secara konsisten sejak 2015, dengan satu pengecualian pada 2020</t>
  </si>
  <si>
    <t>ILO-10</t>
  </si>
  <si>
    <t>Comparison</t>
  </si>
  <si>
    <t>Which has higher unemployment: Spain or Italy in 2022?</t>
  </si>
  <si>
    <t>Spain; Italy</t>
  </si>
  <si>
    <t>Pakistan's unemployment rate, 2010 → 2020 (ILOSTAT):
2010: 0.65%
2020: 6.74%
CAGR: ≈ +26.3% per year over the 10-year span</t>
  </si>
  <si>
    <t>Kedua nilai berdampingan dan negara dengan angka lebih tinggi.</t>
  </si>
  <si>
    <t>Spain
in 2022: 8.1% in Italy and 15% In Spain</t>
  </si>
  <si>
    <t>pencarian manual ga dapat, latest data available only from 2025: 7.1%</t>
  </si>
  <si>
    <t>ILO-11</t>
  </si>
  <si>
    <t>Compare unemployment trends in France and Germany from 2015 to 2023</t>
  </si>
  <si>
    <t>France; Germany</t>
  </si>
  <si>
    <t>2015-2023</t>
  </si>
  <si>
    <t>Kedua seri, arah tren masing-masing, dan peringatan break bila ada.</t>
  </si>
  <si>
    <t>Both France and Germany experienced an overall decline in unemployment rates between 2015 and 2023, but Germany consistently recorded a substantially lower unemployment rate throughout the period.</t>
  </si>
  <si>
    <t>Italy's unemployment rate is clearly trending down since 2015:
Year	Rate
2015	11.90%
2016	11.69%
2017	11.21%
2018	10.54%
2019	9.88%
2020	9.19%
2021	9.50% (slight uptick)
2022	8.07%
2023	7.63%
2024	6.50%
2025	6.13%</t>
  </si>
  <si>
    <t>26 detik</t>
  </si>
  <si>
    <t>ILO-12</t>
  </si>
  <si>
    <t>Which improved more: Brazil or Argentina?</t>
  </si>
  <si>
    <t>Brazil; Argentina</t>
  </si>
  <si>
    <t>Period must be confirmed</t>
  </si>
  <si>
    <t>Comparing 2022 unemployment rates (EU Labour Force Survey, ILOSTAT):
| Country | 2022 Rate |
|---------|-----------|
| **Spain** | **13.03%** |
| Italy | 8.07% |
**Spain has the higher unemployment rate** — about 5 percentage points higher than Italy in 2022.</t>
  </si>
  <si>
    <t>Perubahan kedua negara pada periode yang disepakati dan kesimpulan komparatif.</t>
  </si>
  <si>
    <t>jawaban akhirnya benar, tapi data tahun untuk Spain tidak sama. Di claude untuk spain: 13.03%</t>
  </si>
  <si>
    <t>Brazil improved more, with a 7.0 percentage-point reduction in unemployment compared with 0.9 percentage points for Argentina.</t>
  </si>
  <si>
    <r>
      <rPr>
        <rFont val="Arial"/>
        <color rgb="FF243447"/>
        <sz val="10.0"/>
      </rPr>
      <t xml:space="preserve">https://ilostat.ilo.org/data/country-profiles/arg/
</t>
    </r>
    <r>
      <rPr>
        <rFont val="Arial"/>
        <color rgb="FF1155CC"/>
        <sz val="10.0"/>
        <u/>
      </rPr>
      <t>https://ilostat.ilo.org/data/country-profiles/bra/</t>
    </r>
  </si>
  <si>
    <t>France: steady, consistent downward trend — from 10.35% (2015) to 7.34% (2023), roughly a 3-point decline. No pandemic bump; the decline barely paused in 2020. A slight flattening/tiny uptick in 2023 (7.30% → 7.34%) but essentially a plateau, not a reversal.
Germany: also downward overall, but with a clear COVID interruption — rate fell steadily from 4.61% (2015) to 3.16% (2019), then jumped to 3.88% in 2020 due to the pandemic, before resuming its decline down to 2.98% by 2023 (its lowest point in the series).
Key contrast: France's unemployment is consistently 2–3x higher than Germany's throughout the whole period, and Germany dipped noticeably during COVID while France's decline barely wavered. Both countries end the period at their lowest or near-lowest levels since 2015.</t>
  </si>
  <si>
    <t>Argentina	LFS - Permanent Household Survey, Urban
Brazil	HS - Continuous National Household Sample Survey</t>
  </si>
  <si>
    <t>30 detik</t>
  </si>
  <si>
    <t>ILO-13</t>
  </si>
  <si>
    <t>Data existence</t>
  </si>
  <si>
    <t>Does ILOSTAT have unemployment data for Yemen?</t>
  </si>
  <si>
    <t>Yemen</t>
  </si>
  <si>
    <t>Any</t>
  </si>
  <si>
    <t>Membedakan data survei nasional dan modelled estimates/imputed.</t>
  </si>
  <si>
    <t>YES.     for unemployment indicators available from 1977-2014 with different methods</t>
  </si>
  <si>
    <t>Change, full available span:
Brazil (2015 → 2025): 8.54% → 5.83% = −2.71 pp (−31.7% relative)
Argentina (2017 → 2025): 8.35% → 7.38% = −0.97 pp (−11.6% relative)
Brazil improved more — both in absolute and relative terms — and notably, Argentina's rate has actually been rising again since 2023 (6.14% → 7.38%), reversing its earlier improvement, while Brazil continued a steady decline all the way through 2025 to its lowest point in the series.</t>
  </si>
  <si>
    <r>
      <rPr>
        <rFont val="Arial"/>
        <color rgb="FF243447"/>
        <sz val="10.0"/>
        <u/>
      </rPr>
      <t xml:space="preserve">https://rshiny.ilo.org/dataexplorer63/?lang=en&amp;segment=indicator&amp;id=UNE_DEAP_SEX_AGE_RT_A&amp;ref_area=YEM
</t>
    </r>
    <r>
      <rPr>
        <rFont val="Arial"/>
        <color rgb="FF1155CC"/>
        <sz val="10.0"/>
        <u/>
      </rPr>
      <t>https://ilostat.ilo.org/data/country-profiles/yem/</t>
    </r>
  </si>
  <si>
    <t>The conclusion (Brazil improved more) matches, but the **magnitude differs a lot** — and it's explainable: we used different base years for Brazil.
| | My result | Your result |
|---|---|---|
| Brazil base year | **2015** (8.54%) | **2017** (12.8%) |
| Brazil 2025 | 5.83% | 5.8% |
| Brazil change | **−2.71 pp** | **−7.0 pp** |
| Argentina base year | 2017 (8.35%) | 2017 (8.3%) |
| Argentina 2025 | 7.38% | 7.4% |
| Argentina change | **−0.97 pp** | **−0.9 pp** |
**Root cause**: You anchored **both** countries at 2017 (an apples-to-apples same-start-year comparison), since that's Argentina's earliest available year. I instead used Brazil's full available range starting at 2015 (since Brazil actually has 2015 data) while starting Argentina at 2017 — an unequal-period comparison.
That matters a lot here because Brazil's unemployment **rose** from 8.54% (2015) to a peak of 12.79% (2017) before declining. So:
- Starting from 2015 captures that rise-then-fall, netting only a modest −2.71 pp overall
- Starting from 2017 (post-peak) captures only the decline phase, producing a much larger −7.0 pp
**Your framing is the fairer one for this comparison** — using the same start year (2017) for both countries is the correct apples-to-apples approach, since comparing "improvement" only makes sense over an identical time window. My earlier answer technically showed Brazil's true 2015–2025 trajectory, but it wasn't a fair comparison against Argentina since the periods didn't match. The Argentina numbers agree either way (just rounding: 0.97 vs 0.9).</t>
  </si>
  <si>
    <t>ILO-14</t>
  </si>
  <si>
    <t>Yes, but it's sparse and stops well before the present — nothing since 2014, and the war in Yemen (2015–present) has essentially frozen data collection.</t>
  </si>
  <si>
    <t>What's the most recent unemployment data for Singapore?</t>
  </si>
  <si>
    <t>Singapore</t>
  </si>
  <si>
    <t>Tahun dan nilai paling mutakhir.</t>
  </si>
  <si>
    <t>https://ilostat.ilo.org/data/country-profiles/sgp/</t>
  </si>
  <si>
    <t>Singapore's most recent unemployment data is for 2025, at 3.26% (Labour Force Survey, ILOSTAT) — the lowest in this series, continuing a steady decline since 2020's pandemic peak of 5.23%.</t>
  </si>
  <si>
    <t>14 detik</t>
  </si>
  <si>
    <t>ILO-15</t>
  </si>
  <si>
    <t>Wages</t>
  </si>
  <si>
    <t>What was the average monthly wage in Singapore in 2021?</t>
  </si>
  <si>
    <t>2021</t>
  </si>
  <si>
    <t>Satu angka dalam SGD; tahun dan sumber survei dikonfirmasi.</t>
  </si>
  <si>
    <t>3483.5 USD</t>
  </si>
  <si>
    <t>SGD 4,680 ≈ USD 3,490 (approximate, using ~1.34 average 2021 exchange rate)</t>
  </si>
  <si>
    <t>https://rshiny.ilo.org/dataexplorer57/?lang=en&amp;segment=indicator&amp;id=EAR_EMTA_SEX_CUR_NB_A&amp;ref_area=SGP</t>
  </si>
  <si>
    <t>ngga ada data monthly wage, adanya Average monthly earnings of employees in local currency</t>
  </si>
  <si>
    <t>Germany's average monthly wage in 2022 was EUR 4,412.67 (mean nominal monthly earnings, ILOSTAT).
Source: HIES - EU Statistics on Income and Living Conditions (EU-SILC survey), no methodology break flagged.</t>
  </si>
  <si>
    <t>ILO-16</t>
  </si>
  <si>
    <t>What did workers earn on average in Germany in 2022?</t>
  </si>
  <si>
    <t>Rata-rata upah bulanan dalam EUR dan sumber survei.</t>
  </si>
  <si>
    <t>4412,7 EUR</t>
  </si>
  <si>
    <t>https://ilostat.ilo.org/data/country-profiles/deu/</t>
  </si>
  <si>
    <t>2025	€4,445.62	HIES - EU Statistics on Income and Living Conditions</t>
  </si>
  <si>
    <t>ILO-17</t>
  </si>
  <si>
    <t>What is France's average monthly wage?</t>
  </si>
  <si>
    <t>Nilai terbaru dalam EUR dan tahun dinyatakan eksplisit.</t>
  </si>
  <si>
    <t>4445.6 EUR</t>
  </si>
  <si>
    <t>Year	My THB	Your USD	Implied rate (THB/USD)
2014	14,218.87	437.8	32.48
2015	11,106.65	324.3	34.25
2016	14,733.38	417.4	35.30
2017	14,742.79	434.4	33.95
2018	14,922.80	461.9	32.31
2019	15,128.27	487.3	31.05
2020	15,342.49	490.3	31.29
2021	15,534.33	485.8	31.98
2022	16,384.75	467.3	35.07</t>
  </si>
  <si>
    <t>t's the same result — no deep review needed on the discrepancy itself. The numbers fully reconcile once you account for currency: same source (LFS - Labour Force Survey), same years, same underlying wage figures — just mine in THB, theirs already converted to USD by ILOSTAT. The implied exchange rates I checked all land in a realistic range, so there's nothing inconsistent between the two.
The only thing that might warrant a closer look (separate from comparing our two results) is the 2015 dip itself — it appears in the raw data in both currencies, so it's a genuine feature of that year's observation, not an error introduced by either of us. Whether that dip reflects a real economic event or a survey/data quality issue in Thailand's original 2015 LFS is something I can't determine from ILOSTAT metadata alone (no break or flag is attached to it) — if it matters for your analysis, that's the piece that would need digging into Thailand's national statistical office documentation, not a re-check of our numbers.</t>
  </si>
  <si>
    <t>ILO-18</t>
  </si>
  <si>
    <t>Show me Thailand's wage data from 2014 to 2022</t>
  </si>
  <si>
    <t>2014-2022</t>
  </si>
  <si>
    <t>Seri tahunan dalam THB serta peringatan break metodologi.</t>
  </si>
  <si>
    <t>ILOSTAT Data Explorer
Reference area        Source        Sex        Currency        Year        Value
Thailand        LFS - Labour Force Survey        Total        U.S. dollars        2022        467.3
Thailand        LFS - Labour Force Survey        Total        U.S. dollars        2021        485.8
Thailand        LFS - Labour Force Survey        Total        U.S. dollars        2020        490.3
Thailand        LFS - Labour Force Survey        Total        U.S. dollars        2019        487.3
Thailand        LFS - Labour Force Survey        Total        U.S. dollars        2018        461.9
Thailand        LFS - Labour Force Survey        Total        U.S. dollars        2017        434.4
Thailand        LFS - Labour Force Survey        Total        U.S. dollars        2016        417.4
Thailand        LFS - Labour Force Survey        Total        U.S. dollars        2015        324.3
Thailand        LFS - Labour Force Survey        Total        U.S. dollars        2014        437.8</t>
  </si>
  <si>
    <t>Reading the trend with caution: nominal wages appear to rise steadily from PKR 13,636 (2014) to PKR 24,068 (2021) — roughly a 76% nominal increase. However, the 2020 value sits on a different survey (HIES) sandwiched between two LFS years, so that single point is not directly comparable to its neighbors. Also worth noting this is nominal wage growth only — Pakistan experienced significant inflation over this period, so real (inflation-adjusted) wage growth would be substantially smaller than the nominal figures suggest. I don't have inflation-adjusted data here to quantify that gap.</t>
  </si>
  <si>
    <t>That result conflicts substantially with what I pulled — not just in magnitude, but in the actual shape of the trend:
Claim in their result	What I found
"Rose strongly 2014→2017"	✅ Matches — 13,636 → 18,827 PKR
"Fell for three consecutive years through 2020"	❌ Contradicts — my data shows continuous rises: 2017 (18,827) → 2018 (19,193) → 2019 (21,545) → 2020 (22,489). No decline anywhere in this range.
"Partially recovered" (implying a prior dip)	❌ No dip exists in my series to recover from
"Ended 2024 well above 2014 but below 2017 peak"	❌ Impossible per my data — I have no 2022, 2023, or 2024 observations at all, and 2017 was not a peak (values kept rising after it, up to 24,068 in 2021, the highest point in my series)
This isn't a rounding or currency issue like our earlier comparisons — the described trajectory (rise, three-year fall, partial recovery, 2024 below the 2017 peak) is a genuinely different shape than a series that rises almost every year from 2014 through 2021.
Likely explanation: that result is probably not from the same dataflow I'm using (DF_EAR_EMTA_SEX_CUR_NB, mean monthly earnings, LFS/HIES). It could be:
A different wage indicator (e.g., a real/inflation-adjusted wage index, minimum wage index, or manufacturing wage index) rather than mean nominal earnings
Data from a different source entirely (World Bank, Pakistan Bureau of Statistics directly, or an ILOSTAT dataflow I don't have access to)</t>
  </si>
  <si>
    <t>https://rshiny.ilo.org/dataexplorer44/?lang=en&amp;segment=indicator&amp;id=EAR_EMTA_SEX_CUR_NB_A&amp;ref_area=THA</t>
  </si>
  <si>
    <t>ILO-19</t>
  </si>
  <si>
    <t>Status: Clean, unbroken series — no methodology breaks flagged, single consistent source (LFS) throughout, no missing years.
Trend: Steady nominal wage growth overall, up ~49% from 2018 to 2024. One notable wrinkle: 2021 dipped slightly (6,746,802 vs 6,873,960 in 2020) — a small pandemic-related pullback — before resuming strong growth in 2022–2024, with the fastest single-year jump occurring 2023→2024 (+9.2%).
As with the other wage series, this is nominal VND growth — Vietnam has had moderate inflation over this period, so real (purchasing-power-adjusted) wage growth would be somewhat lower than the ~49% nominal figure.</t>
  </si>
  <si>
    <t>How have wages changed in Pakistan over the last decade?</t>
  </si>
  <si>
    <t>Seri tahunan dan peringatan untuk beberapa methodology breaks.</t>
  </si>
  <si>
    <t>Pakistan's wage indicator shows a fairly volatile pattern over 2014–2024 rather than a steady upward  Pakistan's wage indicator rose strongly from 2014 to 2017, fell for three consecutive years through 2020, partially recovered, and ended 2024 well above its 2014 level but still below its 2017 peak.</t>
  </si>
  <si>
    <t>2014-2024</t>
  </si>
  <si>
    <t>https://rshiny.ilo.org/dataexplorer39/?lang=en&amp;segment=indicator&amp;id=EAR_INEE_CUR_NB_A&amp;ref_area=PAK</t>
  </si>
  <si>
    <t>Partial match — same underlying data and same core conclusion, but one number differs for a real (not erroneous) reason.
Same:
Underlying ILOSTAT series — the values are consistent once converted (implied EUR/USD rates check out)
The core methodological finding — both of us agree the 2025 HIES figure must not be combined with the 2019–2024 LFS series to compute wage growth, since it's a different source/concept
The overall shape/direction — wages rose modestly on the LFS basis from 2019 to 2024
Different:
The growth percentage itself: I got +10.6% (in EUR), they got +6.9% (in USD). This isn't a data error — it's a genuine effect of currency choice, since the euro depreciated slightly against the dollar over 2019–2024, which mechanically shrinks the growth rate when measured in USD versus EUR.
So: agree on the data and the key caveat, diverge only on the reported growth-rate magnitude — and that divergence is fully explained by which currency the comparison is denominated in, not by any inconsistency in the source data</t>
  </si>
  <si>
    <t>ILO-20</t>
  </si>
  <si>
    <t>What's been happening to wages in Vietnam since 2018?</t>
  </si>
  <si>
    <t>Vietnam</t>
  </si>
  <si>
    <t>2018-latest</t>
  </si>
  <si>
    <t>Seri tahunan dari 2018 sampai terbaru dan status break.</t>
  </si>
  <si>
    <t>Overall change, 2018–2024: +39.3%, from $254.9 to $355.0.
What stands out
1. Strong pre-COVID growth (2018–2019).
Wages jumped from $254.9 to $288.3, an increase of about 13% in one year.
2. COVID caused a temporary interruption, not a prolonged decline.
The wage level still increased slightly in 2020, then slipped 1.7% in 2021. This is the only year in the series with a decline.
3. A clear post-COVID acceleration.
From 2021 onward, wages increased every year: $291.3 → $320.6 → $330.2 → $355.0. By 2024, the wage level was about 22% higher than in 2021.
4. 2024 is the strongest point in the series.
At $355, Vietnam's reported wage level was approximately 39% above 2018.
One important methodological point: this is the ILOSTAT LFS earnings series, rather than a statutory minimum-wage series. ILOSTAT distinguishes average employee earnings from statutory minimum wages and provides the former by sex, currency, economic activity, occupation, etc. Vietnam's underlying Labour Force Survey is conducted as a national sample survey and is specifically used to compile indicators on workers' earnings.</t>
  </si>
  <si>
    <t>CAGR (2015 → 2022): (4,412.67 / 2,778.18)^(1/7) − 1 ≈ +6.8% per year</t>
  </si>
  <si>
    <t>21 detik</t>
  </si>
  <si>
    <t>2018-2024</t>
  </si>
  <si>
    <t>Same:
Underlying data (currency-adjusted, the numbers reconcile)
The 2019→2020 jump exists in both versions of the series (it's baked into the source data, not something either of us introduced)
Different:
The CAGR number itself: 6.8% (mine, EUR) vs 6.04% (theirs, USD) — explained purely by currency choice, not an error
The caveat given: I flagged the unexplained +47% jump in 2019→2020 as a reason to distrust this CAGR as a measure of genuine sustained wage growth; their result didn't mention that caution at all — it reported the CAGR as a clean, trustworthy number</t>
  </si>
  <si>
    <t>https://rshiny.ilo.org/dataexplorer25/?lang=en&amp;segment=indicator&amp;id=EAR_EMTA_SEX_CUR_NB_A&amp;ref_area=VNM</t>
  </si>
  <si>
    <t>ILO-21</t>
  </si>
  <si>
    <t>Unambiguously growing — wages rose from 3,249 to 4,680 SGD, about +44% over the decade, with only a tiny, barely-noticeable dip in 2020 (pandemic year, −0.6% vs 2019) before resuming growth in 2021. This is one of the cleanest, most linear wage trends I've seen across the countries checked so far.</t>
  </si>
  <si>
    <t>How much did wages grow in France from 2019 to 2025?</t>
  </si>
  <si>
    <t>19 detik</t>
  </si>
  <si>
    <t>2019-2025</t>
  </si>
  <si>
    <t>Persentase perubahan dan kedua nilai endpoint.</t>
  </si>
  <si>
    <t>Using the ILOSTAT figures , France's wage series rose from US$2,223.6 in 2019 to US$2,378.0 in 2024.
However, there is an important issue with the 2025 figure of US$5,023.6: it comes from a different source and potentially a different wage concept — HIES (EU-SILC) rather than the LFS Employment Survey. I would not combine the 2025 figure with the 2019–2024 LFS series to calculate wage growth. ILOSTAT has multiple earnings tables and source types, so consistency of the series matters</t>
  </si>
  <si>
    <t>https://rshiny.ilo.org/dataexplorer80/?lang=en&amp;segment=indicator&amp;id=EAR_EMTA_SEX_CUR_NB_A&amp;ref_area=FRA</t>
  </si>
  <si>
    <t>"who pays more" depends entirely on which survey basis you compare — LFS-vs-HIES makes Germany look ~2x higher, but HIES-vs-HIES shows them as nearly identical. I'd trust the same-source comparison (HIES vs HIES) more than the mixed one.</t>
  </si>
  <si>
    <t>ILO-22</t>
  </si>
  <si>
    <t>What's the CAGR of wages in Germany from 2015 to 2022?</t>
  </si>
  <si>
    <t>CAGR dan peringatan bila ada perubahan metodologi dalam rentang.</t>
  </si>
  <si>
    <t>Germany's wage CAGR from 2015 to 2022 was approximately 6.04% per year.</t>
  </si>
  <si>
    <t>Using raw ILOSTAT endpoints as given, Vietnam had higher wage growth (+68.2% vs +50.3%).
But that comparison is distorted for Thailand by its questionable 2015 data point. Using a more defensible base year (2016), Vietnam's growth advantage widens even further — Thailand's real growth looks closer to just +13%, versus Vietnam's ~68% (or ~57% if you similarly shift Vietnam's window to 2016→2024: (8,579,562−5,456,969)/5,456,969 = +57.2%).
Either way you cut it, Vietnam shows substantially stronger wage growth than Thailand over this period — and the gap is even larger once Thailand's anomalous 2015 figure is set aside.</t>
  </si>
  <si>
    <t>https://rshiny.ilo.org/dataexplorer32/?lang=en&amp;segment=indicator&amp;id=EAR_EMTA_SEX_CUR_NB_A&amp;ref_area=DEU</t>
  </si>
  <si>
    <t>28 detik</t>
  </si>
  <si>
    <t>**Vietnam's higher-growth conclusion is the truer one** — here's why I land there, not just "it depends":
**1. The base year matters more than the currency.** Thailand's 2015 figure (324.3 USD / 11,106.65 THB) is an unexplained statistical anomaly — it's the one data point that doesn't fit the surrounding trend, with no methodology break to justify it. Any growth calculation anchored to that year is measuring an artifact, not real economic change. Once you use a defensible base year (2016), Thailand's growth story shrinks dramatically in both currencies.
**2. USD conversion isn't neutral — it adds a second variable you don't want.** The original result's Thailand-wins conclusion depends on the Thai baht appreciating and the Vietnamese dong depreciating over the period. That's a real phenomenon, but it's a statement about **currency markets**, not about **wage growth**. If the question is "whose workers got real gains in what they're paid," local currency is the honest lens — FX movements are a separate, confounding factor layered on top.
**3. Robustness check**: when I removed *both* distortions (bad base year AND currency effect) — i.e., compared 2016→latest in local currency — Vietnam still wins clearly (THB +13% to +22% depending on currency vs VND +43% to +57%). Vietnam's growth advantage survives every way I've sliced it except the one specific combination (2015 base + USD) that happens to favor Thailand.
**My answer**: Vietnam had genuinely stronger wage growth over this period. "Thailand grew faster" is a real, calculable number, but it's an artifact of stacking an unreliable base year on top of currency effects — not a robust finding.</t>
  </si>
  <si>
    <t>ILO-23</t>
  </si>
  <si>
    <t>Are wages in Singapore growing or declining?</t>
  </si>
  <si>
    <t>All available data</t>
  </si>
  <si>
    <t>Arah tren, slope, dan kualitas fit.</t>
  </si>
  <si>
    <t>Latest year (2020):
Singapore: SGD 4,534 — source: LFS - Labour Force Survey
Malaysia: MYR 2,933 — source: ES - Salaries and Wages Survey
Note: these are two different currencies with very different values (1 SGD ≈ 3.1–3.3 MYR historically), so the raw local-currency numbers aren't directly comparable magnitude-wise without conversion — I'm just presenting them side by side as requested (local currency, year confirmed for each).
Both countries dipped in 2020 (pandemic), but Malaysia's decline was sharper: Singapore fell just −0.6% (4,563→4,534), while Malaysia fell −9.0% (3,224→2,933) — suggesting Malaysia's labor market/wage base was hit harder by COVID-19 than Singapore's.</t>
  </si>
  <si>
    <t>Singapore's wages have been on a clear upward trajectory, with COVID producing only a temporary dip rather than a structural decline.</t>
  </si>
  <si>
    <t>2010-2021</t>
  </si>
  <si>
    <t>ILO-24</t>
  </si>
  <si>
    <t>Who pays more: France or Germany?</t>
  </si>
  <si>
    <t>Yes — **ILOSTAT does have wage data for Georgia** (confirmed as the country, using ISO code `GEO` — not the U.S. state; ILOSTAT's country list has no separate US-state entries, so `GEO` unambiguously refers to the country of Georgia).
**Availability**: Data spans **2000–2023**, with **2024 and 2025 missing**.
| Period | Source | Sample values |
|--------|--------|----------------|
| 2000–2016 | **ES - Wage Survey** | 2000: 72.3 GEL → 2016: 940.01 GEL |
| 2017–2023 | **HIES - Household Income and Expenditure Survey** | 2017: 546.47 GEL → 2023: 866.97 GEL |
**⚠️ Methodology break flagged at 2017**: source switched from *ES - Wage Survey* to *HIES - Household Income and Expenditure Survey*. This break is significant — the reported wage actually **drops** from GEL 940.01 (2016, ES) to GEL 546.47 (2017, HIES), a **−41.9%** apparent decline in a single year, with no economic crisis to explain it. This is the same pattern we've seen elsewhere (Germany, France): the two survey types clearly measure earnings differently, so **don't treat 2016→2017 as a real wage collapse** — it's a source-switch artifact.
**Bottom line**: Georgia has long-running wage data, but it splits into two non-comparable segments — a pre-2017 ES series (rising steadily, 2000–2016) and a post-2017 HIES series (also rising, 2017–2023) — and you should analyze trends only *within* each segment, not across the 2017 break.</t>
  </si>
  <si>
    <t>22 detik</t>
  </si>
  <si>
    <t>Nilai terbaru kedua negara dalam mata uang lokal.</t>
  </si>
  <si>
    <t xml:space="preserve">Berdasarkan data ILOSTAT yang tersedia, **belum bisa ditentukan apakah Jerman atau Prancis membayar lebih tinggi** karena data HIES keduanya berasal dari tahun yang berbeda (Jerman 2022 vs Prancis 2025).
</t>
  </si>
  <si>
    <t>ILO-25</t>
  </si>
  <si>
    <t>South Africa total unemployment, 2021: 34.01%</t>
  </si>
  <si>
    <t>47 detik</t>
  </si>
  <si>
    <t>Which had higher wage growth 2015-2025: Thailand or Vietnam?</t>
  </si>
  <si>
    <t>Thailand; Vietnam</t>
  </si>
  <si>
    <t>Perubahan kedua negara, break warning, dan kesimpulan.</t>
  </si>
  <si>
    <t xml:space="preserve">**Thailand had higher wage growth from 2015 to 2025**: Thailand increased from **US$324.3 to US$507.8 (+56.6%)**, while Vietnam increased from **US$235.1 to US$355.0 (+51.0%)**.
</t>
  </si>
  <si>
    <t>I cannot answer the youth-specific part of your question from this tool. If you need the actual youth unemployment trend, you'd need to pull it directly from the ILOSTAT Data Explorer (the way you did earlier for Nigeria/Pakistan) or from Statistics South Africa's QLFS reports — publicly, South Africa's youth unemployment (15–24 or 15–34 depending on definition) is reported well above the total rate, often 45–60%+, but I can't verify a specific number for you without a working data source.</t>
  </si>
  <si>
    <t>ILO-26</t>
  </si>
  <si>
    <t>27 detik</t>
  </si>
  <si>
    <t>Compare wages in Singapore and Malaysia</t>
  </si>
  <si>
    <t>Singapore; Malaysia</t>
  </si>
  <si>
    <t>Nilai terbaru dalam mata uang lokal dan tahun masing-masing.</t>
  </si>
  <si>
    <t>Singapore: US$2,583.1 (2011) → US$3,483.5 (2021), +34.9%
Malaysia: US$591.2 (2011) → US$697.8 (2020), +18.0%
Comparison: Singapore wages were consistently much higher—about 5× Malaysia’s level in the latest available years (US$3,483.5 vs. US$697.8), while Singapore also recorded stronger wage growth over the period.</t>
  </si>
  <si>
    <t>2011-2020</t>
  </si>
  <si>
    <t>Latest available: 2022, 3.9% unemployment — no data for 2023–2025 in this dataflow. YoY improvement (−0.7 pp from 2021) reflects continued post-pandemic recovery, though the rate hadn't yet returned to the pre-COVID 2019 low of 3.3%.</t>
  </si>
  <si>
    <t>24 detik</t>
  </si>
  <si>
    <t>ILO-27</t>
  </si>
  <si>
    <t>Your finding is truer and more complete — mine was limited by real gaps in the tool's data coverage, which I flagged at the time (stopping at 2022 for unemployment, 2020 for wages). Yours fills in exactly those gaps with more recent and broader data.
One thing worth flagging, not as an error but as a nuance: your youth unemployment figures (14.4% in 2011, 10.2% in 2022) are lower than my total unemployment figures for nearby years (e.g., my 2022 total was 3.9%, so youth at 10.2% is appropriately higher — consistent with the "youth &gt; total" pattern we established with South Africa). That internal consistency is a good sign your youth series is sound.
Bottom line: my snapshot wasn't wrong, but it was an incomplete picture constrained by tool access — I said as much explicitly at the time ("not current... roughly 2–5 years stale"). Your version is the more accurate and usable labour market snapshot; I'd treat it as the authoritative one here, with my numbers serving only as a partial, dated cross-check on the unemployment series specifically.</t>
  </si>
  <si>
    <t>Does ILOSTAT have wage data for Georgia?</t>
  </si>
  <si>
    <t>Georgia (country)</t>
  </si>
  <si>
    <t>Ketersediaan data upah; memastikan Georgia adalah negara.</t>
  </si>
  <si>
    <t>yes</t>
  </si>
  <si>
    <t>ILO-28</t>
  </si>
  <si>
    <t>Youth unemployment</t>
  </si>
  <si>
    <t>What was South Africa's youth unemployment in 2021?</t>
  </si>
  <si>
    <t>South Africa</t>
  </si>
  <si>
    <t>Angka 2021 dan penjelasan band usia aktual 15-29.</t>
  </si>
  <si>
    <t>32.9% in total</t>
  </si>
  <si>
    <t>https://rshiny.ilo.org/dataexplorer42/?lang=en&amp;segment=indicator&amp;id=EIP_NEET_SEX_RT_A&amp;ref_area=ZAF</t>
  </si>
  <si>
    <t>ILO-29</t>
  </si>
  <si>
    <t>How has youth unemployment changed in South Africa over the past 5 years?</t>
  </si>
  <si>
    <t>Last 5 available years</t>
  </si>
  <si>
    <t>Seri tahunan serta band usia 15-29 dinyatakan sekali.</t>
  </si>
  <si>
    <t>South Africa has not made sustained progress in reducing youth unemployment. After hovering around 32–33% in 2019–2021, the rate rose sharply to 35.2% in 2022 and, despite a modest improvement in 2023, remained elevated at 34.6% in 2024.</t>
  </si>
  <si>
    <t>ILO-30</t>
  </si>
  <si>
    <t>Labour market snapshot</t>
  </si>
  <si>
    <t>Packaged workflow</t>
  </si>
  <si>
    <t>Give me a labour market snapshot for Malaysia</t>
  </si>
  <si>
    <t>Latest + recent trend</t>
  </si>
  <si>
    <t>Unemployment terbaru dan YoY, tren upah 5 tahun, serta caveat metodologi.</t>
  </si>
  <si>
    <t xml:space="preserve">Malaysia’s labour market has strengthened significantly in recent years, with the **overall unemployment rate falling to 3.2% in 2024**, below the 3.3% recorded in 2019, while **labour-force participation rose to 70.6%**. Employment reached around **16.4 million people**, with **services accounting for 65.6%** of total employment, followed by manufacturing (16.3%), agriculture (9.0%), and construction (8.5%). Labour demand also remained strong, with around **193,600 vacancies** recorded in Q4 2024, particularly concentrated in manufacturing. Youth unemployment, while still higher than the overall rate, has improved over the longer term, declining from **14.4% in 2011 to 10.2% in 2022**, after a temporary pandemic-related spike to 13.6% in 2020. Overall, Malaysia's labour market is characterized by **low unemployment, rising participation, and strong labour demand**, although **youth employment, female participation, and skills mismatch** remain key structural challenges.
</t>
  </si>
  <si>
    <t>https://ilostat.ilo.org/data/country-profiles/mys/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</si>
</sst>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7">
    <font>
      <sz val="11.0"/>
      <color rgb="FF000000"/>
      <name val="Carlito"/>
      <scheme val="minor"/>
    </font>
    <font>
      <b/>
      <sz val="24.0"/>
      <color theme="1"/>
      <name val="Carlito"/>
      <scheme val="minor"/>
    </font>
    <font>
      <color theme="1"/>
      <name val="Carlito"/>
      <scheme val="minor"/>
    </font>
    <font>
      <b/>
      <sz val="18.0"/>
      <color theme="1"/>
      <name val="Carlito"/>
      <scheme val="minor"/>
    </font>
    <font>
      <sz val="18.0"/>
      <color theme="1"/>
      <name val="Carlito"/>
      <scheme val="minor"/>
    </font>
    <font>
      <sz val="14.0"/>
      <color theme="1"/>
      <name val="Carlito"/>
      <scheme val="minor"/>
    </font>
    <font>
      <b/>
      <sz val="16.0"/>
      <color rgb="FFFFFFFF"/>
      <name val="Aptos"/>
    </font>
    <font/>
    <font>
      <i/>
      <sz val="10.0"/>
      <color rgb="FF243447"/>
      <name val="Aptos"/>
    </font>
    <font>
      <b/>
      <sz val="10.0"/>
      <color rgb="FF17365D"/>
      <name val="Aptos"/>
    </font>
    <font>
      <sz val="11.0"/>
      <color theme="1"/>
      <name val="Aptos"/>
    </font>
    <font>
      <b/>
      <sz val="11.0"/>
      <color theme="1"/>
      <name val="Aptos"/>
    </font>
    <font>
      <b/>
      <sz val="10.0"/>
      <color rgb="FFFFFFFF"/>
      <name val="Aptos"/>
    </font>
    <font>
      <sz val="10.0"/>
      <color rgb="FF243447"/>
      <name val="Aptos"/>
    </font>
    <font>
      <b/>
      <sz val="10.0"/>
      <color rgb="FFFFFFFF"/>
      <name val="Arial"/>
    </font>
    <font>
      <sz val="10.0"/>
      <color rgb="FF243447"/>
      <name val="Arial"/>
    </font>
    <font>
      <b/>
      <sz val="10.0"/>
      <color rgb="FF243447"/>
      <name val="Arial"/>
    </font>
    <font>
      <u/>
      <sz val="10.0"/>
      <color rgb="FF243447"/>
      <name val="Arial"/>
    </font>
    <font>
      <u/>
      <sz val="10.0"/>
      <color rgb="FF0000FF"/>
      <name val="Arial"/>
    </font>
    <font>
      <u/>
      <sz val="10.0"/>
      <color rgb="FF243447"/>
      <name val="Arial"/>
    </font>
    <font>
      <sz val="10.0"/>
      <color theme="1"/>
      <name val="Arial"/>
    </font>
    <font>
      <b/>
      <sz val="10.0"/>
      <color rgb="FF243447"/>
      <name val="Aptos"/>
    </font>
    <font>
      <u/>
      <sz val="10.0"/>
      <color rgb="FF243447"/>
      <name val="Aptos"/>
    </font>
    <font>
      <u/>
      <sz val="10.0"/>
      <color rgb="FF434343"/>
      <name val="Arial"/>
    </font>
    <font>
      <u/>
      <sz val="10.0"/>
      <color rgb="FF243447"/>
      <name val="Arial"/>
    </font>
    <font>
      <u/>
      <sz val="10.0"/>
      <color rgb="FF243447"/>
      <name val="Aptos"/>
    </font>
    <font>
      <b/>
      <color theme="1"/>
      <name val="Carlito"/>
      <scheme val="minor"/>
    </font>
  </fonts>
  <fills count="15">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17365D"/>
        <bgColor rgb="FF17365D"/>
      </patternFill>
    </fill>
    <fill>
      <patternFill patternType="solid">
        <fgColor rgb="FFDDEBF7"/>
        <bgColor rgb="FFDDEBF7"/>
      </patternFill>
    </fill>
    <fill>
      <patternFill patternType="solid">
        <fgColor rgb="FFEAF1F8"/>
        <bgColor rgb="FFEAF1F8"/>
      </patternFill>
    </fill>
    <fill>
      <patternFill patternType="solid">
        <fgColor rgb="FFFFFFFF"/>
        <bgColor rgb="FFFFFFFF"/>
      </patternFill>
    </fill>
    <fill>
      <patternFill patternType="solid">
        <fgColor rgb="FF0F6B78"/>
        <bgColor rgb="FF0F6B78"/>
      </patternFill>
    </fill>
    <fill>
      <patternFill patternType="solid">
        <fgColor rgb="FFF8FBFD"/>
        <bgColor rgb="FFF8FBFD"/>
      </patternFill>
    </fill>
    <fill>
      <patternFill patternType="solid">
        <fgColor rgb="FFF2F2F2"/>
        <bgColor rgb="FFF2F2F2"/>
      </patternFill>
    </fill>
    <fill>
      <patternFill patternType="solid">
        <fgColor rgb="FFD9EAF7"/>
        <bgColor rgb="FFD9EAF7"/>
      </patternFill>
    </fill>
    <fill>
      <patternFill patternType="solid">
        <fgColor rgb="FFFFFF00"/>
        <bgColor rgb="FFFFFF00"/>
      </patternFill>
    </fill>
    <fill>
      <patternFill patternType="solid">
        <fgColor rgb="FFF4CCCC"/>
        <bgColor rgb="FFF4CCCC"/>
      </patternFill>
    </fill>
  </fills>
  <borders count="15">
    <border/>
    <border>
      <left/>
      <top/>
      <bottom/>
    </border>
    <border>
      <top/>
      <bottom/>
    </border>
    <border>
      <right/>
      <top/>
      <bottom/>
    </border>
    <border>
      <left style="thin">
        <color rgb="FFB7C9D6"/>
      </left>
      <top style="thin">
        <color rgb="FFB7C9D6"/>
      </top>
      <bottom style="thin">
        <color rgb="FFB7C9D6"/>
      </bottom>
    </border>
    <border>
      <right/>
      <top style="thin">
        <color rgb="FFB7C9D6"/>
      </top>
      <bottom style="thin">
        <color rgb="FFB7C9D6"/>
      </bottom>
    </border>
    <border>
      <left/>
      <right/>
      <top style="thin">
        <color rgb="FFB7C9D6"/>
      </top>
      <bottom style="thin">
        <color rgb="FFB7C9D6"/>
      </bottom>
    </border>
    <border>
      <left style="thin">
        <color rgb="FFB7C9D6"/>
      </left>
      <right style="thin">
        <color rgb="FFB7C9D6"/>
      </right>
      <top style="thin">
        <color rgb="FFB7C9D6"/>
      </top>
      <bottom style="thin">
        <color rgb="FFB7C9D6"/>
      </bottom>
    </border>
    <border>
      <left/>
      <top style="thin">
        <color rgb="FFB7C9D6"/>
      </top>
      <bottom style="thin">
        <color rgb="FFB7C9D6"/>
      </bottom>
    </border>
    <border>
      <left style="thin">
        <color rgb="FFB7C9D6"/>
      </left>
      <right style="thin">
        <color rgb="FFB7C9D6"/>
      </right>
      <top style="thin">
        <color rgb="FFB7C9D6"/>
      </top>
    </border>
    <border>
      <left/>
      <right/>
      <top/>
      <bottom style="thin">
        <color rgb="FFD9E2E8"/>
      </bottom>
    </border>
    <border>
      <left/>
      <top/>
      <bottom style="thin">
        <color rgb="FFD9E2E8"/>
      </bottom>
    </border>
    <border>
      <left style="thin">
        <color rgb="FFCCCCCC"/>
      </left>
      <right style="thin">
        <color rgb="FFCCCCCC"/>
      </right>
      <top style="thin">
        <color rgb="FFCCCCCC"/>
      </top>
      <bottom style="thin">
        <color rgb="FFCCCCCC"/>
      </bottom>
    </border>
    <border>
      <left/>
      <right/>
      <top style="thin">
        <color rgb="FFD9E2E8"/>
      </top>
      <bottom style="thin">
        <color rgb="FFD9E2E8"/>
      </bottom>
    </border>
    <border>
      <left/>
      <top style="thin">
        <color rgb="FFD9E2E8"/>
      </top>
      <bottom style="thin">
        <color rgb="FFD9E2E8"/>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ill="1" applyFont="1"/>
    <xf borderId="0" fillId="3" fontId="3" numFmtId="0" xfId="0" applyAlignment="1" applyFill="1" applyFont="1">
      <alignment readingOrder="0"/>
    </xf>
    <xf borderId="0" fillId="0" fontId="4" numFmtId="0" xfId="0" applyAlignment="1" applyFont="1">
      <alignment horizontal="center" readingOrder="0"/>
    </xf>
    <xf borderId="0" fillId="0" fontId="4" numFmtId="0" xfId="0" applyAlignment="1" applyFont="1">
      <alignment horizontal="right" readingOrder="0"/>
    </xf>
    <xf borderId="0" fillId="0" fontId="4" numFmtId="0" xfId="0" applyAlignment="1" applyFont="1">
      <alignment readingOrder="0"/>
    </xf>
    <xf borderId="0" fillId="0" fontId="4" numFmtId="10" xfId="0" applyAlignment="1" applyFont="1" applyNumberFormat="1">
      <alignment horizontal="right" readingOrder="0"/>
    </xf>
    <xf borderId="0" fillId="0" fontId="4" numFmtId="0" xfId="0" applyFont="1"/>
    <xf borderId="0" fillId="0" fontId="5" numFmtId="0" xfId="0" applyAlignment="1" applyFont="1">
      <alignment readingOrder="0"/>
    </xf>
    <xf borderId="0" fillId="0" fontId="5" numFmtId="0" xfId="0" applyFont="1"/>
    <xf borderId="0" fillId="4" fontId="3" numFmtId="0" xfId="0" applyAlignment="1" applyFill="1" applyFont="1">
      <alignment horizontal="center" readingOrder="0"/>
    </xf>
    <xf borderId="1" fillId="5" fontId="6" numFmtId="0" xfId="0" applyAlignment="1" applyBorder="1" applyFill="1" applyFont="1">
      <alignment horizontal="left" vertical="center"/>
    </xf>
    <xf borderId="2" fillId="0" fontId="7" numFmtId="0" xfId="0" applyBorder="1" applyFont="1"/>
    <xf borderId="3" fillId="0" fontId="7" numFmtId="0" xfId="0" applyBorder="1" applyFont="1"/>
    <xf borderId="1" fillId="6" fontId="8" numFmtId="0" xfId="0" applyAlignment="1" applyBorder="1" applyFill="1" applyFont="1">
      <alignment vertical="center"/>
    </xf>
    <xf borderId="4" fillId="7" fontId="9" numFmtId="0" xfId="0" applyAlignment="1" applyBorder="1" applyFill="1" applyFont="1">
      <alignment horizontal="center" vertical="center"/>
    </xf>
    <xf borderId="5" fillId="0" fontId="7" numFmtId="0" xfId="0" applyBorder="1" applyFont="1"/>
    <xf borderId="0" fillId="0" fontId="10" numFmtId="0" xfId="0" applyFont="1"/>
    <xf borderId="0" fillId="0" fontId="11" numFmtId="0" xfId="0" applyAlignment="1" applyFont="1">
      <alignment horizontal="right"/>
    </xf>
    <xf borderId="6" fillId="8" fontId="9" numFmtId="0" xfId="0" applyAlignment="1" applyBorder="1" applyFill="1" applyFont="1">
      <alignment horizontal="center" vertical="center"/>
    </xf>
    <xf borderId="7" fillId="9" fontId="12" numFmtId="0" xfId="0" applyAlignment="1" applyBorder="1" applyFill="1" applyFont="1">
      <alignment horizontal="center" readingOrder="0" shrinkToFit="0" vertical="center" wrapText="1"/>
    </xf>
    <xf borderId="8" fillId="7" fontId="9" numFmtId="0" xfId="0" applyAlignment="1" applyBorder="1" applyFill="1" applyFont="1">
      <alignment horizontal="right" vertical="center"/>
    </xf>
    <xf borderId="6" fillId="8" fontId="9" numFmtId="0" xfId="0" applyAlignment="1" applyBorder="1" applyFill="1" applyFont="1">
      <alignment horizontal="right" vertical="center"/>
    </xf>
    <xf borderId="6" fillId="7" fontId="9" numFmtId="0" xfId="0" applyAlignment="1" applyBorder="1" applyFill="1" applyFont="1">
      <alignment horizontal="center" vertical="center"/>
    </xf>
    <xf borderId="6" fillId="4" fontId="9" numFmtId="0" xfId="0" applyAlignment="1" applyBorder="1" applyFill="1" applyFont="1">
      <alignment horizontal="center" vertical="center"/>
    </xf>
    <xf borderId="7" fillId="9" fontId="12" numFmtId="0" xfId="0" applyAlignment="1" applyBorder="1" applyFill="1" applyFont="1">
      <alignment horizontal="right" readingOrder="0" shrinkToFit="0" vertical="center" wrapText="1"/>
    </xf>
    <xf borderId="0" fillId="0" fontId="10" numFmtId="0" xfId="0" applyAlignment="1" applyFont="1">
      <alignment horizontal="right"/>
    </xf>
    <xf borderId="9" fillId="9" fontId="12" numFmtId="0" xfId="0" applyAlignment="1" applyBorder="1" applyFill="1" applyFont="1">
      <alignment horizontal="center" readingOrder="0" shrinkToFit="0" vertical="center" wrapText="1"/>
    </xf>
    <xf borderId="9" fillId="9" fontId="12" numFmtId="0" xfId="0" applyAlignment="1" applyBorder="1" applyFill="1" applyFont="1">
      <alignment horizontal="right" readingOrder="0" shrinkToFit="0" vertical="center" wrapText="1"/>
    </xf>
    <xf borderId="10" fillId="10" fontId="13" numFmtId="0" xfId="0" applyAlignment="1" applyBorder="1" applyFill="1" applyFont="1">
      <alignment horizontal="center" shrinkToFit="0" vertical="top" wrapText="1"/>
    </xf>
    <xf borderId="9" fillId="9" fontId="14" numFmtId="0" xfId="0" applyAlignment="1" applyBorder="1" applyFill="1" applyFont="1">
      <alignment horizontal="center" readingOrder="0" shrinkToFit="0" vertical="center" wrapText="1"/>
    </xf>
    <xf borderId="0" fillId="9" fontId="14" numFmtId="0" xfId="0" applyAlignment="1" applyFill="1" applyFont="1">
      <alignment horizontal="center" readingOrder="0" shrinkToFit="0" vertical="center" wrapText="1"/>
    </xf>
    <xf borderId="10" fillId="10" fontId="15" numFmtId="0" xfId="0" applyAlignment="1" applyBorder="1" applyFill="1" applyFont="1">
      <alignment readingOrder="0" shrinkToFit="0" vertical="top" wrapText="1"/>
    </xf>
    <xf borderId="10" fillId="10" fontId="13" numFmtId="0" xfId="0" applyAlignment="1" applyBorder="1" applyFill="1" applyFont="1">
      <alignment shrinkToFit="0" vertical="top" wrapText="1"/>
    </xf>
    <xf borderId="11" fillId="11" fontId="13" numFmtId="0" xfId="0" applyAlignment="1" applyBorder="1" applyFill="1" applyFont="1">
      <alignment horizontal="center" shrinkToFit="0" vertical="top" wrapText="1"/>
    </xf>
    <xf borderId="10" fillId="4" fontId="15" numFmtId="0" xfId="0" applyAlignment="1" applyBorder="1" applyFill="1" applyFont="1">
      <alignment horizontal="center" readingOrder="0" shrinkToFit="0" vertical="top" wrapText="1"/>
    </xf>
    <xf borderId="12" fillId="11" fontId="13" numFmtId="0" xfId="0" applyAlignment="1" applyBorder="1" applyFill="1" applyFont="1">
      <alignment shrinkToFit="0" vertical="top" wrapText="1"/>
    </xf>
    <xf borderId="10" fillId="4" fontId="16" numFmtId="10" xfId="0" applyAlignment="1" applyBorder="1" applyFill="1" applyFont="1" applyNumberFormat="1">
      <alignment horizontal="right" readingOrder="0" shrinkToFit="0" vertical="top" wrapText="1"/>
    </xf>
    <xf borderId="10" fillId="4" fontId="13" numFmtId="0" xfId="0" applyAlignment="1" applyBorder="1" applyFill="1" applyFont="1">
      <alignment shrinkToFit="0" vertical="top" wrapText="1"/>
    </xf>
    <xf borderId="10" fillId="4" fontId="15" numFmtId="0" xfId="0" applyAlignment="1" applyBorder="1" applyFill="1" applyFont="1">
      <alignment readingOrder="0" shrinkToFit="0" vertical="top" wrapText="1"/>
    </xf>
    <xf borderId="12" fillId="11" fontId="13" numFmtId="10" xfId="0" applyAlignment="1" applyBorder="1" applyFill="1" applyFont="1" applyNumberFormat="1">
      <alignment horizontal="right" shrinkToFit="0" vertical="top" wrapText="1"/>
    </xf>
    <xf borderId="12" fillId="11" fontId="13" numFmtId="0" xfId="0" applyAlignment="1" applyBorder="1" applyFill="1" applyFont="1">
      <alignment horizontal="right" shrinkToFit="0" vertical="top" wrapText="1"/>
    </xf>
    <xf borderId="10" fillId="4" fontId="17" numFmtId="0" xfId="0" applyAlignment="1" applyBorder="1" applyFill="1" applyFont="1">
      <alignment readingOrder="0" shrinkToFit="0" vertical="top" wrapText="1"/>
    </xf>
    <xf borderId="10" fillId="4" fontId="15" numFmtId="164" xfId="0" applyAlignment="1" applyBorder="1" applyFill="1" applyFont="1" applyNumberFormat="1">
      <alignment readingOrder="0" shrinkToFit="0" vertical="top" wrapText="1"/>
    </xf>
    <xf borderId="12" fillId="11" fontId="15" numFmtId="10" xfId="0" applyAlignment="1" applyBorder="1" applyFill="1" applyFont="1" applyNumberFormat="1">
      <alignment horizontal="right" readingOrder="0" shrinkToFit="0" vertical="top" wrapText="1"/>
    </xf>
    <xf borderId="13" fillId="10" fontId="13" numFmtId="0" xfId="0" applyAlignment="1" applyBorder="1" applyFill="1" applyFont="1">
      <alignment horizontal="center" shrinkToFit="0" vertical="top" wrapText="1"/>
    </xf>
    <xf borderId="12" fillId="4" fontId="15" numFmtId="0" xfId="0" applyAlignment="1" applyBorder="1" applyFill="1" applyFont="1">
      <alignment readingOrder="0" shrinkToFit="0" vertical="top" wrapText="1"/>
    </xf>
    <xf borderId="12" fillId="4" fontId="15" numFmtId="0" xfId="0" applyAlignment="1" applyBorder="1" applyFill="1" applyFont="1">
      <alignment readingOrder="0" shrinkToFit="0" vertical="top" wrapText="1"/>
    </xf>
    <xf borderId="13" fillId="10" fontId="13" numFmtId="0" xfId="0" applyAlignment="1" applyBorder="1" applyFill="1" applyFont="1">
      <alignment shrinkToFit="0" vertical="top" wrapText="1"/>
    </xf>
    <xf borderId="0" fillId="4" fontId="15" numFmtId="0" xfId="0" applyAlignment="1" applyFill="1" applyFont="1">
      <alignment readingOrder="0" shrinkToFit="0" vertical="top" wrapText="1"/>
    </xf>
    <xf borderId="13" fillId="4" fontId="15" numFmtId="0" xfId="0" applyAlignment="1" applyBorder="1" applyFill="1" applyFont="1">
      <alignment horizontal="center" readingOrder="0" shrinkToFit="0" vertical="top" wrapText="1"/>
    </xf>
    <xf borderId="14" fillId="11" fontId="13" numFmtId="0" xfId="0" applyAlignment="1" applyBorder="1" applyFill="1" applyFont="1">
      <alignment horizontal="center" shrinkToFit="0" vertical="top" wrapText="1"/>
    </xf>
    <xf borderId="13" fillId="4" fontId="16" numFmtId="10" xfId="0" applyAlignment="1" applyBorder="1" applyFill="1" applyFont="1" applyNumberFormat="1">
      <alignment horizontal="right" readingOrder="0" shrinkToFit="0" vertical="top" wrapText="1"/>
    </xf>
    <xf borderId="13" fillId="4" fontId="13" numFmtId="0" xfId="0" applyAlignment="1" applyBorder="1" applyFill="1" applyFont="1">
      <alignment shrinkToFit="0" vertical="top" wrapText="1"/>
    </xf>
    <xf borderId="13" fillId="4" fontId="15" numFmtId="0" xfId="0" applyAlignment="1" applyBorder="1" applyFill="1" applyFont="1">
      <alignment readingOrder="0" shrinkToFit="0" vertical="top" wrapText="1"/>
    </xf>
    <xf borderId="13" fillId="4" fontId="18" numFmtId="0" xfId="0" applyAlignment="1" applyBorder="1" applyFill="1" applyFont="1">
      <alignment readingOrder="0" shrinkToFit="0" vertical="top" wrapText="1"/>
    </xf>
    <xf borderId="13" fillId="4" fontId="15" numFmtId="164" xfId="0" applyAlignment="1" applyBorder="1" applyFill="1" applyFont="1" applyNumberFormat="1">
      <alignment readingOrder="0" shrinkToFit="0" vertical="top" wrapText="1"/>
    </xf>
    <xf borderId="12" fillId="12" fontId="15" numFmtId="10" xfId="0" applyAlignment="1" applyBorder="1" applyFill="1" applyFont="1" applyNumberFormat="1">
      <alignment readingOrder="0" shrinkToFit="0" vertical="top" wrapText="1"/>
    </xf>
    <xf borderId="13" fillId="10" fontId="15" numFmtId="0" xfId="0" applyAlignment="1" applyBorder="1" applyFill="1" applyFont="1">
      <alignment readingOrder="0" shrinkToFit="0" vertical="top" wrapText="1"/>
    </xf>
    <xf borderId="13" fillId="4" fontId="16" numFmtId="0" xfId="0" applyAlignment="1" applyBorder="1" applyFill="1" applyFont="1">
      <alignment horizontal="right" readingOrder="0" shrinkToFit="0" vertical="top" wrapText="1"/>
    </xf>
    <xf borderId="13" fillId="4" fontId="19" numFmtId="0" xfId="0" applyAlignment="1" applyBorder="1" applyFill="1" applyFont="1">
      <alignment readingOrder="0" shrinkToFit="0" vertical="top" wrapText="1"/>
    </xf>
    <xf borderId="13" fillId="4" fontId="20" numFmtId="0" xfId="0" applyAlignment="1" applyBorder="1" applyFill="1" applyFont="1">
      <alignment readingOrder="0" shrinkToFit="0" vertical="top" wrapText="1"/>
    </xf>
    <xf borderId="12" fillId="12" fontId="15" numFmtId="0" xfId="0" applyAlignment="1" applyBorder="1" applyFill="1" applyFont="1">
      <alignment readingOrder="0" shrinkToFit="0" vertical="top" wrapText="1"/>
    </xf>
    <xf borderId="13" fillId="4" fontId="15" numFmtId="0" xfId="0" applyAlignment="1" applyBorder="1" applyFill="1" applyFont="1">
      <alignment horizontal="right" readingOrder="0" shrinkToFit="0" vertical="top" wrapText="1"/>
    </xf>
    <xf borderId="13" fillId="4" fontId="21" numFmtId="0" xfId="0" applyAlignment="1" applyBorder="1" applyFill="1" applyFont="1">
      <alignment horizontal="right" shrinkToFit="0" vertical="top" wrapText="1"/>
    </xf>
    <xf borderId="12" fillId="13" fontId="15" numFmtId="0" xfId="0" applyAlignment="1" applyBorder="1" applyFill="1" applyFont="1">
      <alignment readingOrder="0" shrinkToFit="0" vertical="top" wrapText="1"/>
    </xf>
    <xf quotePrefix="1" borderId="13" fillId="4" fontId="22" numFmtId="0" xfId="0" applyAlignment="1" applyBorder="1" applyFill="1" applyFont="1">
      <alignment readingOrder="0" shrinkToFit="0" vertical="top" wrapText="1"/>
    </xf>
    <xf borderId="12" fillId="11" fontId="15" numFmtId="0" xfId="0" applyAlignment="1" applyBorder="1" applyFill="1" applyFont="1">
      <alignment horizontal="right" readingOrder="0" shrinkToFit="0" vertical="top" wrapText="1"/>
    </xf>
    <xf borderId="13" fillId="4" fontId="23" numFmtId="0" xfId="0" applyAlignment="1" applyBorder="1" applyFill="1" applyFont="1">
      <alignment readingOrder="0" shrinkToFit="0" vertical="top" wrapText="1"/>
    </xf>
    <xf borderId="13" fillId="4" fontId="24" numFmtId="0" xfId="0" applyAlignment="1" applyBorder="1" applyFill="1" applyFont="1">
      <alignment readingOrder="0" shrinkToFit="0" vertical="top" wrapText="1"/>
    </xf>
    <xf borderId="0" fillId="4" fontId="15" numFmtId="0" xfId="0" applyAlignment="1" applyFill="1" applyFont="1">
      <alignment readingOrder="0" shrinkToFit="0" vertical="top" wrapText="1"/>
    </xf>
    <xf borderId="0" fillId="4" fontId="13" numFmtId="0" xfId="0" applyAlignment="1" applyFill="1" applyFont="1">
      <alignment shrinkToFit="0" vertical="top" wrapText="1"/>
    </xf>
    <xf borderId="12" fillId="13" fontId="13" numFmtId="0" xfId="0" applyAlignment="1" applyBorder="1" applyFill="1" applyFont="1">
      <alignment shrinkToFit="0" vertical="top" wrapText="1"/>
    </xf>
    <xf borderId="13" fillId="4" fontId="25" numFmtId="0" xfId="0" applyAlignment="1" applyBorder="1" applyFill="1" applyFont="1">
      <alignment readingOrder="0" shrinkToFit="0" vertical="top" wrapText="1"/>
    </xf>
    <xf borderId="12" fillId="14" fontId="15" numFmtId="0" xfId="0" applyAlignment="1" applyBorder="1" applyFill="1" applyFont="1">
      <alignment readingOrder="0" shrinkToFit="0" vertical="top" wrapText="1"/>
    </xf>
    <xf borderId="0" fillId="0" fontId="2" numFmtId="0" xfId="0" applyAlignment="1" applyFont="1">
      <alignment horizontal="right"/>
    </xf>
    <xf borderId="0" fillId="0" fontId="26" numFmtId="0" xfId="0" applyAlignment="1" applyFont="1">
      <alignment horizontal="right"/>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375623"/>
      </font>
      <fill>
        <patternFill patternType="solid">
          <fgColor rgb="FFE2F0D9"/>
          <bgColor rgb="FFE2F0D9"/>
        </patternFill>
      </fill>
      <border/>
    </dxf>
    <dxf>
      <font>
        <color rgb="FF9C0006"/>
      </font>
      <fill>
        <patternFill patternType="solid">
          <fgColor rgb="FFFCE4D6"/>
          <bgColor rgb="FFFCE4D6"/>
        </patternFill>
      </fill>
      <border/>
    </dxf>
  </dxfs>
  <tableStyles count="2">
    <tableStyle count="4" pivot="0" name="Komparasi Konektor-style">
      <tableStyleElement dxfId="1" type="headerRow"/>
      <tableStyleElement dxfId="2" type="firstRowStripe"/>
      <tableStyleElement dxfId="3" type="secondRowStripe"/>
      <tableStyleElement dxfId="4" size="0" type="wholeTable"/>
    </tableStyle>
    <tableStyle count="4" pivot="0" name="Pencarian Manu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8</xdr:row>
      <xdr:rowOff>0</xdr:rowOff>
    </xdr:from>
    <xdr:ext cx="1000125" cy="838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nza Nabeela Puteri" id="{b33173be-8616-447c-a504-5acee6b5acc2}" providerId="google-sheets"/>
</x18tc:personList>
</file>

<file path=xl/tables/table1.xml><?xml version="1.0" encoding="utf-8"?>
<table xmlns="http://schemas.openxmlformats.org/spreadsheetml/2006/main" ref="A4:R34" displayName="ManualSearchTable" name="ManualSearchTable" id="1">
  <tableColumns count="18">
    <tableColumn name="Test ID" id="1"/>
    <tableColumn name="Indicator" id="2"/>
    <tableColumn name="Query type" id="3"/>
    <tableColumn name="Pertanyaan uji" id="4"/>
    <tableColumn name="Negara/entitas" id="5"/>
    <tableColumn name="Periode diminta" id="6"/>
    <tableColumn name="Expected connector output" id="7"/>
    <tableColumn name="Status manual" id="8"/>
    <tableColumn name="Jawaban manual (ringkas)" id="9"/>
    <tableColumn name="Nilai/seri manual" id="10"/>
    <tableColumn name="Unit" id="11"/>
    <tableColumn name="Tahun data" id="12"/>
    <tableColumn name="Kode indikator/dataset" id="13"/>
    <tableColumn name="Sumber/URL" id="14"/>
    <tableColumn name="Sumber survei/metode" id="15"/>
    <tableColumn name="Methodology break/caveat" id="16"/>
    <tableColumn name="Tanggal pencarian" id="17"/>
    <tableColumn name="Catatan peneliti" id="18"/>
  </tableColumns>
  <tableStyleInfo name="Pencarian Manual-style" showColumnStripes="0" showFirstColumn="1" showLastColumn="1" showRowStripes="1"/>
</table>
</file>

<file path=xl/tables/table2.xml><?xml version="1.0" encoding="utf-8"?>
<table xmlns="http://schemas.openxmlformats.org/spreadsheetml/2006/main" ref="A5:J35" displayName="ConnectorComparisonTable" name="ConnectorComparisonTable" id="2">
  <tableColumns count="10">
    <tableColumn name="Test ID" id="1"/>
    <tableColumn name="Pertanyaan uji" id="2"/>
    <tableColumn name="Expected connector output" id="3"/>
    <tableColumn name="Jawaban manual" id="4"/>
    <tableColumn name="Nilai/seri manual" id="5"/>
    <tableColumn name="Tahun manual" id="6"/>
    <tableColumn name="Jawaban connector" id="7"/>
    <tableColumn name="Kecocokan jawaban" id="8"/>
    <tableColumn name="Durasi claude" id="9"/>
    <tableColumn name="Notes" id="10"/>
  </tableColumns>
  <tableStyleInfo name="Komparasi Konekt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5" dT="2026-09-07T13:23:22.00" personId="{b33173be-8616-447c-a504-5acee6b5acc2}" id="{a20308f1-40cf-4eeb-8a7a-6d2d9e97f70d}" done="0">
    <x18tc:text xml:space="preserve">France's comparable ILOSTAT LFS wage measure increased by about 6.9% between 2019 and 2024, but the 2025 HIES observation should not be used to calculate the LFS wage-growth rate.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ilostat.ilo.org/data/country-profiles/fra/" TargetMode="External"/><Relationship Id="rId22" Type="http://schemas.openxmlformats.org/officeDocument/2006/relationships/hyperlink" Target="https://rshiny.ilo.org/dataexplorer39/?lang=en&amp;segment=indicator&amp;id=EAR_INEE_CUR_NB_A&amp;ref_area=PAK" TargetMode="External"/><Relationship Id="rId21" Type="http://schemas.openxmlformats.org/officeDocument/2006/relationships/hyperlink" Target="https://rshiny.ilo.org/dataexplorer44/?lang=en&amp;segment=indicator&amp;id=EAR_EMTA_SEX_CUR_NB_A&amp;ref_area=THA" TargetMode="External"/><Relationship Id="rId24" Type="http://schemas.openxmlformats.org/officeDocument/2006/relationships/hyperlink" Target="https://rshiny.ilo.org/dataexplorer80/?lang=en&amp;segment=indicator&amp;id=EAR_EMTA_SEX_CUR_NB_A&amp;ref_area=FRA" TargetMode="External"/><Relationship Id="rId23" Type="http://schemas.openxmlformats.org/officeDocument/2006/relationships/hyperlink" Target="https://rshiny.ilo.org/dataexplorer25/?lang=en&amp;segment=indicator&amp;id=EAR_EMTA_SEX_CUR_NB_A&amp;ref_area=VN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ilostat.ilo.org/data/snapshots/unemployment-rate/" TargetMode="External"/><Relationship Id="rId9" Type="http://schemas.openxmlformats.org/officeDocument/2006/relationships/hyperlink" Target="https://rshiny.ilo.org/dataexplorer67/?lang=en&amp;segment=indicator&amp;id=UNE_5EAP_SEX_AGE_RT_A&amp;ref_area=NGA" TargetMode="External"/><Relationship Id="rId26" Type="http://schemas.openxmlformats.org/officeDocument/2006/relationships/hyperlink" Target="https://rshiny.ilo.org/dataexplorer57/?lang=en&amp;segment=indicator&amp;id=EAR_EMTA_SEX_CUR_NB_A&amp;ref_area=SGP" TargetMode="External"/><Relationship Id="rId25" Type="http://schemas.openxmlformats.org/officeDocument/2006/relationships/hyperlink" Target="https://rshiny.ilo.org/dataexplorer32/?lang=en&amp;segment=indicator&amp;id=EAR_EMTA_SEX_CUR_NB_A&amp;ref_area=DEU" TargetMode="External"/><Relationship Id="rId28" Type="http://schemas.openxmlformats.org/officeDocument/2006/relationships/hyperlink" Target="https://rshiny.ilo.org/dataexplorer57/?lang=en&amp;segment=indicator&amp;id=EAR_EMTA_SEX_CUR_NB_A&amp;ref_area=SGP" TargetMode="External"/><Relationship Id="rId27" Type="http://schemas.openxmlformats.org/officeDocument/2006/relationships/hyperlink" Target="https://rshiny.ilo.org/dataexplorer57/?lang=en&amp;segment=indicator&amp;id=EAR_EMTA_SEX_CUR_NB_A&amp;ref_area=SGP" TargetMode="External"/><Relationship Id="rId5" Type="http://schemas.openxmlformats.org/officeDocument/2006/relationships/hyperlink" Target="https://ilostat.ilo.org/data/country-profiles/fra/" TargetMode="External"/><Relationship Id="rId6" Type="http://schemas.openxmlformats.org/officeDocument/2006/relationships/hyperlink" Target="https://rshiny.ilo.org/dataexplorer71/?lang=en&amp;segment=indicator&amp;id=UNE_5EAP_SEX_AGE_RT_A&amp;ref_area=BRA" TargetMode="External"/><Relationship Id="rId29" Type="http://schemas.openxmlformats.org/officeDocument/2006/relationships/hyperlink" Target="https://rshiny.ilo.org/dataexplorer42/?lang=en&amp;segment=indicator&amp;id=EIP_NEET_SEX_RT_A&amp;ref_area=ZAF" TargetMode="External"/><Relationship Id="rId7" Type="http://schemas.openxmlformats.org/officeDocument/2006/relationships/hyperlink" Target="https://rshiny.ilo.org/dataexplorer71/?lang=en&amp;segment=indicator&amp;id=UNE_5EAP_SEX_AGE_RT_A&amp;ref_area=BRA" TargetMode="External"/><Relationship Id="rId8" Type="http://schemas.openxmlformats.org/officeDocument/2006/relationships/hyperlink" Target="https://rshiny.ilo.org/dataexplorer32/?lang=en&amp;segment=indicator&amp;id=UNE_DEAP_SEX_AGE_RT_A&amp;ref_area=THA" TargetMode="External"/><Relationship Id="rId31" Type="http://schemas.openxmlformats.org/officeDocument/2006/relationships/hyperlink" Target="https://ilostat.ilo.org/data/country-profiles/mys/" TargetMode="External"/><Relationship Id="rId30" Type="http://schemas.openxmlformats.org/officeDocument/2006/relationships/hyperlink" Target="https://rshiny.ilo.org/dataexplorer42/?lang=en&amp;segment=indicator&amp;id=EIP_NEET_SEX_RT_A&amp;ref_area=ZAF" TargetMode="External"/><Relationship Id="rId11" Type="http://schemas.openxmlformats.org/officeDocument/2006/relationships/hyperlink" Target="https://rshiny.ilo.org/dataexplorer87/?lang=en&amp;segment=indicator&amp;id=UNE_5EAP_SEX_AGE_RT_A&amp;ref_area=DEU" TargetMode="External"/><Relationship Id="rId33" Type="http://schemas.openxmlformats.org/officeDocument/2006/relationships/vmlDrawing" Target="../drawings/vmlDrawing1.vml"/><Relationship Id="rId10" Type="http://schemas.openxmlformats.org/officeDocument/2006/relationships/hyperlink" Target="https://rshiny.ilo.org/dataexplorer87/?lang=en&amp;segment=indicator&amp;id=UNE_5EAP_SEX_AGE_RT_A&amp;ref_area=DEU" TargetMode="External"/><Relationship Id="rId32" Type="http://schemas.openxmlformats.org/officeDocument/2006/relationships/drawing" Target="../drawings/drawing2.xml"/><Relationship Id="rId13" Type="http://schemas.openxmlformats.org/officeDocument/2006/relationships/hyperlink" Target="https://rshiny.ilo.org/dataexplorer87/?lang=en&amp;segment=indicator&amp;id=UNE_5EAP_SEX_AGE_RT_A&amp;ref_area=DEU" TargetMode="External"/><Relationship Id="rId35" Type="http://schemas.openxmlformats.org/officeDocument/2006/relationships/table" Target="../tables/table1.xml"/><Relationship Id="rId12" Type="http://schemas.openxmlformats.org/officeDocument/2006/relationships/hyperlink" Target="https://rshiny.ilo.org/dataexplorer87/?lang=en&amp;segment=indicator&amp;id=UNE_5EAP_SEX_AGE_RT_A&amp;ref_area=DEU" TargetMode="External"/><Relationship Id="rId15" Type="http://schemas.openxmlformats.org/officeDocument/2006/relationships/hyperlink" Target="https://ilostat.ilo.org/data/country-profiles/bra/" TargetMode="External"/><Relationship Id="rId14" Type="http://schemas.openxmlformats.org/officeDocument/2006/relationships/hyperlink" Target="https://rshiny.ilo.org/dataexplorer87/?lang=en&amp;segment=indicator&amp;id=UNE_5EAP_SEX_AGE_RT_A&amp;ref_area=DEU" TargetMode="External"/><Relationship Id="rId17" Type="http://schemas.openxmlformats.org/officeDocument/2006/relationships/hyperlink" Target="https://ilostat.ilo.org/data/country-profiles/sgp/" TargetMode="External"/><Relationship Id="rId16" Type="http://schemas.openxmlformats.org/officeDocument/2006/relationships/hyperlink" Target="https://rshiny.ilo.org/dataexplorer63/?lang=en&amp;segment=indicator&amp;id=UNE_DEAP_SEX_AGE_RT_A&amp;ref_area=YEM" TargetMode="External"/><Relationship Id="rId19" Type="http://schemas.openxmlformats.org/officeDocument/2006/relationships/hyperlink" Target="https://ilostat.ilo.org/data/country-profiles/deu/" TargetMode="External"/><Relationship Id="rId18" Type="http://schemas.openxmlformats.org/officeDocument/2006/relationships/hyperlink" Target="https://rshiny.ilo.org/dataexplorer57/?lang=en&amp;segment=indicator&amp;id=EAR_EMTA_SEX_CUR_NB_A&amp;ref_area=SG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30.13"/>
  </cols>
  <sheetData>
    <row r="2">
      <c r="B2" s="1" t="s">
        <v>0</v>
      </c>
      <c r="C2" s="2"/>
      <c r="D2" s="2"/>
      <c r="E2" s="2"/>
      <c r="F2" s="2"/>
      <c r="G2" s="2"/>
    </row>
    <row r="3">
      <c r="B3" s="3" t="s">
        <v>1</v>
      </c>
    </row>
    <row r="4">
      <c r="B4" s="4" t="s">
        <v>2</v>
      </c>
      <c r="C4" s="5" t="s">
        <v>3</v>
      </c>
      <c r="D4" s="5" t="s">
        <v>4</v>
      </c>
    </row>
    <row r="5">
      <c r="B5" s="6" t="s">
        <v>5</v>
      </c>
      <c r="C5" s="5">
        <v>19.0</v>
      </c>
      <c r="D5" s="7">
        <v>0.633</v>
      </c>
    </row>
    <row r="6">
      <c r="B6" s="6" t="s">
        <v>6</v>
      </c>
      <c r="C6" s="5">
        <v>7.0</v>
      </c>
      <c r="D6" s="7">
        <v>0.233</v>
      </c>
    </row>
    <row r="7">
      <c r="B7" s="6" t="s">
        <v>7</v>
      </c>
      <c r="C7" s="5">
        <v>2.0</v>
      </c>
      <c r="D7" s="7">
        <v>0.067</v>
      </c>
    </row>
    <row r="8">
      <c r="B8" s="6" t="s">
        <v>8</v>
      </c>
      <c r="C8" s="5">
        <v>2.0</v>
      </c>
      <c r="D8" s="7">
        <v>0.067</v>
      </c>
    </row>
    <row r="9">
      <c r="B9" s="8"/>
    </row>
    <row r="10">
      <c r="B10" s="6" t="s">
        <v>9</v>
      </c>
    </row>
    <row r="11">
      <c r="B11" s="8"/>
    </row>
    <row r="12">
      <c r="B12" s="3" t="s">
        <v>10</v>
      </c>
    </row>
    <row r="13">
      <c r="B13" s="8"/>
    </row>
    <row r="14">
      <c r="B14" s="6" t="s">
        <v>11</v>
      </c>
    </row>
    <row r="15">
      <c r="B15" s="8"/>
    </row>
    <row r="16">
      <c r="B16" s="4" t="s">
        <v>12</v>
      </c>
      <c r="C16" s="5" t="s">
        <v>3</v>
      </c>
      <c r="D16" s="4" t="s">
        <v>13</v>
      </c>
      <c r="E16" s="4" t="s">
        <v>14</v>
      </c>
    </row>
    <row r="17">
      <c r="B17" s="6" t="s">
        <v>15</v>
      </c>
      <c r="C17" s="5">
        <v>3.0</v>
      </c>
      <c r="D17" s="6" t="s">
        <v>16</v>
      </c>
      <c r="E17" s="6" t="s">
        <v>17</v>
      </c>
    </row>
    <row r="18">
      <c r="B18" s="6" t="s">
        <v>18</v>
      </c>
      <c r="C18" s="5">
        <v>3.0</v>
      </c>
      <c r="D18" s="6" t="s">
        <v>19</v>
      </c>
      <c r="E18" s="6" t="s">
        <v>20</v>
      </c>
    </row>
    <row r="19">
      <c r="B19" s="6" t="s">
        <v>21</v>
      </c>
      <c r="C19" s="5">
        <v>1.0</v>
      </c>
      <c r="D19" s="6" t="s">
        <v>22</v>
      </c>
      <c r="E19" s="6" t="s">
        <v>23</v>
      </c>
    </row>
    <row r="20">
      <c r="B20" s="6" t="s">
        <v>24</v>
      </c>
      <c r="C20" s="5">
        <v>1.0</v>
      </c>
      <c r="D20" s="6" t="s">
        <v>25</v>
      </c>
      <c r="E20" s="6" t="s">
        <v>26</v>
      </c>
    </row>
    <row r="21">
      <c r="B21" s="6" t="s">
        <v>27</v>
      </c>
      <c r="C21" s="5">
        <v>1.0</v>
      </c>
      <c r="D21" s="6" t="s">
        <v>28</v>
      </c>
      <c r="E21" s="6" t="s">
        <v>29</v>
      </c>
    </row>
    <row r="22">
      <c r="B22" s="8"/>
    </row>
    <row r="23">
      <c r="B23" s="6" t="s">
        <v>30</v>
      </c>
    </row>
    <row r="24">
      <c r="B24" s="8"/>
    </row>
    <row r="25">
      <c r="B25" s="6" t="s">
        <v>31</v>
      </c>
    </row>
    <row r="26">
      <c r="B26" s="8"/>
    </row>
    <row r="27">
      <c r="B27" s="6" t="s">
        <v>32</v>
      </c>
    </row>
    <row r="28">
      <c r="B28" s="6" t="s">
        <v>33</v>
      </c>
    </row>
    <row r="29">
      <c r="B29" s="6" t="s">
        <v>34</v>
      </c>
    </row>
    <row r="30">
      <c r="B30" s="6" t="s">
        <v>35</v>
      </c>
    </row>
    <row r="31">
      <c r="B31" s="3"/>
    </row>
    <row r="32">
      <c r="B32" s="3" t="s">
        <v>36</v>
      </c>
    </row>
    <row r="33">
      <c r="B33" s="9" t="s">
        <v>37</v>
      </c>
    </row>
    <row r="34">
      <c r="B34" s="9" t="s">
        <v>38</v>
      </c>
    </row>
    <row r="35">
      <c r="B35" s="9" t="s">
        <v>39</v>
      </c>
    </row>
    <row r="36">
      <c r="B36" s="10"/>
    </row>
    <row r="37">
      <c r="B37" s="9" t="s">
        <v>40</v>
      </c>
    </row>
    <row r="38">
      <c r="B38" s="9" t="s">
        <v>41</v>
      </c>
    </row>
    <row r="39">
      <c r="B39" s="9" t="s">
        <v>42</v>
      </c>
    </row>
    <row r="40">
      <c r="B40" s="9" t="s">
        <v>43</v>
      </c>
    </row>
    <row r="41">
      <c r="B41" s="10"/>
    </row>
    <row r="42">
      <c r="B42" s="9" t="s">
        <v>44</v>
      </c>
    </row>
    <row r="43">
      <c r="B43" s="9" t="s">
        <v>45</v>
      </c>
    </row>
    <row r="44">
      <c r="B44" s="9" t="s">
        <v>46</v>
      </c>
    </row>
    <row r="45">
      <c r="B45" s="10"/>
    </row>
    <row r="46">
      <c r="B46" s="9" t="s">
        <v>47</v>
      </c>
    </row>
    <row r="47">
      <c r="B47" s="9" t="s">
        <v>48</v>
      </c>
    </row>
    <row r="48">
      <c r="B48" s="9" t="s">
        <v>49</v>
      </c>
    </row>
    <row r="49">
      <c r="B49" s="10"/>
    </row>
    <row r="50">
      <c r="B50" s="3" t="s">
        <v>50</v>
      </c>
    </row>
    <row r="51">
      <c r="B51" s="6" t="s">
        <v>51</v>
      </c>
    </row>
    <row r="52">
      <c r="B52" s="8"/>
    </row>
    <row r="53">
      <c r="B53" s="3" t="s">
        <v>52</v>
      </c>
    </row>
    <row r="54">
      <c r="B54" s="11" t="s">
        <v>53</v>
      </c>
      <c r="C54" s="11" t="s">
        <v>54</v>
      </c>
    </row>
    <row r="55">
      <c r="B55" s="6" t="s">
        <v>55</v>
      </c>
      <c r="C55" s="6" t="s">
        <v>56</v>
      </c>
    </row>
    <row r="56">
      <c r="B56" s="6" t="s">
        <v>55</v>
      </c>
      <c r="C56" s="6" t="s">
        <v>57</v>
      </c>
    </row>
    <row r="57">
      <c r="B57" s="6" t="s">
        <v>58</v>
      </c>
      <c r="C57" s="6" t="s">
        <v>59</v>
      </c>
    </row>
    <row r="58">
      <c r="B58" s="6" t="s">
        <v>58</v>
      </c>
      <c r="C58" s="6" t="s">
        <v>60</v>
      </c>
    </row>
    <row r="59">
      <c r="B59" s="6" t="s">
        <v>61</v>
      </c>
      <c r="C59" s="6" t="s">
        <v>62</v>
      </c>
    </row>
    <row r="60">
      <c r="B60" s="8"/>
    </row>
    <row r="61">
      <c r="B61" s="6" t="s">
        <v>63</v>
      </c>
    </row>
    <row r="62">
      <c r="B62" s="8"/>
    </row>
    <row r="63">
      <c r="B6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0"/>
    <col customWidth="1" min="2" max="2" width="19.0"/>
    <col customWidth="1" min="3" max="3" width="16.5"/>
    <col customWidth="1" min="4" max="4" width="27.75"/>
    <col customWidth="1" min="5" max="5" width="16.13"/>
    <col customWidth="1" min="6" max="6" width="10.75"/>
    <col customWidth="1" hidden="1" min="7" max="7" width="23.75"/>
    <col customWidth="1" min="8" max="8" width="10.38"/>
    <col customWidth="1" min="9" max="9" width="33.63"/>
    <col customWidth="1" min="10" max="10" width="13.13"/>
    <col customWidth="1" hidden="1" min="11" max="11" width="8.75"/>
    <col customWidth="1" min="12" max="12" width="9.25"/>
    <col customWidth="1" hidden="1" min="13" max="13" width="13.13"/>
    <col customWidth="1" min="14" max="14" width="27.38"/>
    <col customWidth="1" min="15" max="15" width="23.88"/>
    <col customWidth="1" min="16" max="16" width="10.0"/>
    <col customWidth="1" min="17" max="17" width="13.25"/>
    <col customWidth="1" min="18" max="18" width="25.75"/>
    <col customWidth="1" min="19" max="26" width="8.63"/>
  </cols>
  <sheetData>
    <row r="1" ht="30.0" customHeight="1">
      <c r="A1" s="12" t="s">
        <v>64</v>
      </c>
      <c r="B1" s="13"/>
      <c r="C1" s="13"/>
      <c r="D1" s="13"/>
      <c r="E1" s="13"/>
      <c r="F1" s="13"/>
      <c r="G1" s="13"/>
      <c r="H1" s="13"/>
      <c r="I1" s="13"/>
      <c r="J1" s="13"/>
      <c r="K1" s="13"/>
      <c r="L1" s="13"/>
      <c r="M1" s="13"/>
      <c r="N1" s="13"/>
      <c r="O1" s="13"/>
      <c r="P1" s="13"/>
      <c r="Q1" s="13"/>
      <c r="R1" s="14"/>
    </row>
    <row r="2">
      <c r="A2" s="15" t="s">
        <v>67</v>
      </c>
      <c r="B2" s="13"/>
      <c r="C2" s="13"/>
      <c r="D2" s="13"/>
      <c r="E2" s="13"/>
      <c r="F2" s="13"/>
      <c r="G2" s="13"/>
      <c r="H2" s="13"/>
      <c r="I2" s="13"/>
      <c r="J2" s="13"/>
      <c r="K2" s="13"/>
      <c r="L2" s="13"/>
      <c r="M2" s="13"/>
      <c r="N2" s="13"/>
      <c r="O2" s="13"/>
      <c r="P2" s="13"/>
      <c r="Q2" s="13"/>
      <c r="R2" s="14"/>
    </row>
    <row r="3">
      <c r="A3" s="18"/>
      <c r="B3" s="18"/>
      <c r="C3" s="18"/>
      <c r="D3" s="18"/>
      <c r="E3" s="18"/>
      <c r="F3" s="18"/>
      <c r="G3" s="18"/>
      <c r="H3" s="18"/>
      <c r="I3" s="19"/>
      <c r="J3" s="18"/>
      <c r="K3" s="18"/>
      <c r="L3" s="18"/>
      <c r="M3" s="18"/>
      <c r="N3" s="18"/>
      <c r="O3" s="18"/>
      <c r="P3" s="18"/>
      <c r="Q3" s="18"/>
      <c r="R3" s="18"/>
    </row>
    <row r="4" ht="43.5" customHeight="1">
      <c r="A4" s="21" t="s">
        <v>69</v>
      </c>
      <c r="B4" s="21" t="s">
        <v>71</v>
      </c>
      <c r="C4" s="21" t="s">
        <v>72</v>
      </c>
      <c r="D4" s="21" t="s">
        <v>73</v>
      </c>
      <c r="E4" s="21" t="s">
        <v>74</v>
      </c>
      <c r="F4" s="21" t="s">
        <v>75</v>
      </c>
      <c r="G4" s="21" t="s">
        <v>76</v>
      </c>
      <c r="H4" s="21" t="s">
        <v>78</v>
      </c>
      <c r="I4" s="26" t="s">
        <v>79</v>
      </c>
      <c r="J4" s="21" t="s">
        <v>81</v>
      </c>
      <c r="K4" s="21" t="s">
        <v>82</v>
      </c>
      <c r="L4" s="21" t="s">
        <v>83</v>
      </c>
      <c r="M4" s="21" t="s">
        <v>84</v>
      </c>
      <c r="N4" s="21" t="s">
        <v>85</v>
      </c>
      <c r="O4" s="21" t="s">
        <v>86</v>
      </c>
      <c r="P4" s="21" t="s">
        <v>87</v>
      </c>
      <c r="Q4" s="21" t="s">
        <v>89</v>
      </c>
      <c r="R4" s="21" t="s">
        <v>90</v>
      </c>
    </row>
    <row r="5">
      <c r="A5" s="30" t="s">
        <v>91</v>
      </c>
      <c r="B5" s="30" t="s">
        <v>94</v>
      </c>
      <c r="C5" s="30" t="s">
        <v>97</v>
      </c>
      <c r="D5" s="33" t="s">
        <v>99</v>
      </c>
      <c r="E5" s="34" t="s">
        <v>100</v>
      </c>
      <c r="F5" s="34" t="s">
        <v>101</v>
      </c>
      <c r="G5" s="34" t="s">
        <v>102</v>
      </c>
      <c r="H5" s="36" t="s">
        <v>103</v>
      </c>
      <c r="I5" s="38">
        <v>0.039</v>
      </c>
      <c r="J5" s="39"/>
      <c r="K5" s="39"/>
      <c r="L5" s="40">
        <v>2022.0</v>
      </c>
      <c r="M5" s="39"/>
      <c r="N5" s="43" t="s">
        <v>104</v>
      </c>
      <c r="O5" s="40"/>
      <c r="P5" s="40" t="s">
        <v>105</v>
      </c>
      <c r="Q5" s="44">
        <v>46229.0</v>
      </c>
      <c r="R5" s="40" t="s">
        <v>106</v>
      </c>
    </row>
    <row r="6" ht="54.0" customHeight="1">
      <c r="A6" s="46" t="s">
        <v>107</v>
      </c>
      <c r="B6" s="46" t="s">
        <v>94</v>
      </c>
      <c r="C6" s="46" t="s">
        <v>97</v>
      </c>
      <c r="D6" s="49" t="s">
        <v>109</v>
      </c>
      <c r="E6" s="49" t="s">
        <v>110</v>
      </c>
      <c r="F6" s="49" t="s">
        <v>111</v>
      </c>
      <c r="G6" s="49" t="s">
        <v>112</v>
      </c>
      <c r="H6" s="51" t="s">
        <v>103</v>
      </c>
      <c r="I6" s="53">
        <v>0.077</v>
      </c>
      <c r="J6" s="54"/>
      <c r="K6" s="54"/>
      <c r="L6" s="55">
        <v>2025.0</v>
      </c>
      <c r="M6" s="54"/>
      <c r="N6" s="56" t="s">
        <v>113</v>
      </c>
      <c r="O6" s="55" t="s">
        <v>114</v>
      </c>
      <c r="P6" s="55" t="s">
        <v>115</v>
      </c>
      <c r="Q6" s="57">
        <v>46267.0</v>
      </c>
      <c r="R6" s="55"/>
    </row>
    <row r="7" ht="98.25" customHeight="1">
      <c r="A7" s="46" t="s">
        <v>116</v>
      </c>
      <c r="B7" s="46" t="s">
        <v>94</v>
      </c>
      <c r="C7" s="46" t="s">
        <v>97</v>
      </c>
      <c r="D7" s="49" t="s">
        <v>117</v>
      </c>
      <c r="E7" s="49" t="s">
        <v>118</v>
      </c>
      <c r="F7" s="59" t="s">
        <v>120</v>
      </c>
      <c r="G7" s="49" t="s">
        <v>121</v>
      </c>
      <c r="H7" s="51" t="s">
        <v>103</v>
      </c>
      <c r="I7" s="60" t="s">
        <v>122</v>
      </c>
      <c r="J7" s="54"/>
      <c r="K7" s="54"/>
      <c r="L7" s="55" t="s">
        <v>120</v>
      </c>
      <c r="M7" s="54"/>
      <c r="N7" s="61" t="s">
        <v>123</v>
      </c>
      <c r="O7" s="55" t="s">
        <v>124</v>
      </c>
      <c r="P7" s="55" t="s">
        <v>115</v>
      </c>
      <c r="Q7" s="57">
        <v>46267.0</v>
      </c>
      <c r="R7" s="62"/>
    </row>
    <row r="8" ht="120.75" customHeight="1">
      <c r="A8" s="46" t="s">
        <v>125</v>
      </c>
      <c r="B8" s="46" t="s">
        <v>94</v>
      </c>
      <c r="C8" s="46" t="s">
        <v>126</v>
      </c>
      <c r="D8" s="49" t="s">
        <v>127</v>
      </c>
      <c r="E8" s="49" t="s">
        <v>129</v>
      </c>
      <c r="F8" s="49" t="s">
        <v>130</v>
      </c>
      <c r="G8" s="49" t="s">
        <v>131</v>
      </c>
      <c r="H8" s="51" t="s">
        <v>103</v>
      </c>
      <c r="I8" s="60" t="s">
        <v>132</v>
      </c>
      <c r="J8" s="54"/>
      <c r="K8" s="54"/>
      <c r="L8" s="55" t="s">
        <v>134</v>
      </c>
      <c r="M8" s="54"/>
      <c r="N8" s="56" t="s">
        <v>123</v>
      </c>
      <c r="O8" s="55" t="s">
        <v>135</v>
      </c>
      <c r="P8" s="55" t="s">
        <v>115</v>
      </c>
      <c r="Q8" s="57">
        <v>46267.0</v>
      </c>
      <c r="R8" s="55" t="s">
        <v>136</v>
      </c>
    </row>
    <row r="9" ht="120.75" customHeight="1">
      <c r="A9" s="46" t="s">
        <v>137</v>
      </c>
      <c r="B9" s="46" t="s">
        <v>94</v>
      </c>
      <c r="C9" s="46" t="s">
        <v>126</v>
      </c>
      <c r="D9" s="49" t="s">
        <v>138</v>
      </c>
      <c r="E9" s="49" t="s">
        <v>139</v>
      </c>
      <c r="F9" s="49" t="s">
        <v>140</v>
      </c>
      <c r="G9" s="49" t="s">
        <v>141</v>
      </c>
      <c r="H9" s="51" t="s">
        <v>103</v>
      </c>
      <c r="I9" s="64" t="s">
        <v>142</v>
      </c>
      <c r="J9" s="65"/>
      <c r="K9" s="54"/>
      <c r="L9" s="55" t="s">
        <v>143</v>
      </c>
      <c r="M9" s="54"/>
      <c r="N9" s="67" t="s">
        <v>145</v>
      </c>
      <c r="O9" s="55" t="s">
        <v>148</v>
      </c>
      <c r="P9" s="55" t="s">
        <v>149</v>
      </c>
      <c r="Q9" s="57">
        <v>46267.0</v>
      </c>
      <c r="R9" s="54"/>
    </row>
    <row r="10" ht="54.0" customHeight="1">
      <c r="A10" s="46" t="s">
        <v>150</v>
      </c>
      <c r="B10" s="46" t="s">
        <v>94</v>
      </c>
      <c r="C10" s="46" t="s">
        <v>126</v>
      </c>
      <c r="D10" s="49" t="s">
        <v>151</v>
      </c>
      <c r="E10" s="49" t="s">
        <v>152</v>
      </c>
      <c r="F10" s="49" t="s">
        <v>153</v>
      </c>
      <c r="G10" s="49" t="s">
        <v>154</v>
      </c>
      <c r="H10" s="51" t="s">
        <v>103</v>
      </c>
      <c r="I10" s="60" t="s">
        <v>155</v>
      </c>
      <c r="J10" s="54"/>
      <c r="K10" s="54"/>
      <c r="L10" s="55" t="s">
        <v>157</v>
      </c>
      <c r="M10" s="54"/>
      <c r="N10" s="69" t="s">
        <v>158</v>
      </c>
      <c r="O10" s="55" t="s">
        <v>159</v>
      </c>
      <c r="P10" s="54"/>
      <c r="Q10" s="57">
        <v>46267.0</v>
      </c>
      <c r="R10" s="54"/>
    </row>
    <row r="11" ht="54.0" customHeight="1">
      <c r="A11" s="46" t="s">
        <v>160</v>
      </c>
      <c r="B11" s="46" t="s">
        <v>94</v>
      </c>
      <c r="C11" s="46" t="s">
        <v>161</v>
      </c>
      <c r="D11" s="49" t="s">
        <v>162</v>
      </c>
      <c r="E11" s="49" t="s">
        <v>163</v>
      </c>
      <c r="F11" s="49" t="s">
        <v>164</v>
      </c>
      <c r="G11" s="49" t="s">
        <v>165</v>
      </c>
      <c r="H11" s="51" t="s">
        <v>103</v>
      </c>
      <c r="I11" s="60" t="s">
        <v>166</v>
      </c>
      <c r="J11" s="54"/>
      <c r="K11" s="55"/>
      <c r="L11" s="55" t="s">
        <v>164</v>
      </c>
      <c r="M11" s="54"/>
      <c r="N11" s="70" t="s">
        <v>168</v>
      </c>
      <c r="O11" s="55" t="s">
        <v>135</v>
      </c>
      <c r="P11" s="55" t="s">
        <v>115</v>
      </c>
      <c r="Q11" s="57">
        <v>46267.0</v>
      </c>
      <c r="R11" s="54"/>
    </row>
    <row r="12" ht="54.0" customHeight="1">
      <c r="A12" s="46" t="s">
        <v>172</v>
      </c>
      <c r="B12" s="46" t="s">
        <v>94</v>
      </c>
      <c r="C12" s="46" t="s">
        <v>173</v>
      </c>
      <c r="D12" s="49" t="s">
        <v>174</v>
      </c>
      <c r="E12" s="49" t="s">
        <v>175</v>
      </c>
      <c r="F12" s="49" t="s">
        <v>176</v>
      </c>
      <c r="G12" s="49" t="s">
        <v>177</v>
      </c>
      <c r="H12" s="51" t="s">
        <v>103</v>
      </c>
      <c r="I12" s="60" t="s">
        <v>178</v>
      </c>
      <c r="J12" s="54"/>
      <c r="K12" s="55"/>
      <c r="L12" s="54"/>
      <c r="M12" s="54"/>
      <c r="N12" s="70" t="s">
        <v>168</v>
      </c>
      <c r="O12" s="55" t="s">
        <v>148</v>
      </c>
      <c r="P12" s="55" t="s">
        <v>115</v>
      </c>
      <c r="Q12" s="57">
        <v>46267.0</v>
      </c>
      <c r="R12" s="55" t="s">
        <v>180</v>
      </c>
    </row>
    <row r="13" ht="86.25" customHeight="1">
      <c r="A13" s="46" t="s">
        <v>181</v>
      </c>
      <c r="B13" s="46" t="s">
        <v>94</v>
      </c>
      <c r="C13" s="46" t="s">
        <v>182</v>
      </c>
      <c r="D13" s="49" t="s">
        <v>183</v>
      </c>
      <c r="E13" s="49" t="s">
        <v>184</v>
      </c>
      <c r="F13" s="49" t="s">
        <v>185</v>
      </c>
      <c r="G13" s="49" t="s">
        <v>186</v>
      </c>
      <c r="H13" s="51" t="s">
        <v>103</v>
      </c>
      <c r="I13" s="60" t="s">
        <v>187</v>
      </c>
      <c r="J13" s="54"/>
      <c r="K13" s="54"/>
      <c r="L13" s="55" t="s">
        <v>143</v>
      </c>
      <c r="M13" s="54"/>
      <c r="N13" s="70" t="s">
        <v>168</v>
      </c>
      <c r="O13" s="55" t="s">
        <v>135</v>
      </c>
      <c r="P13" s="55" t="s">
        <v>115</v>
      </c>
      <c r="Q13" s="57">
        <v>46267.0</v>
      </c>
      <c r="R13" s="54"/>
    </row>
    <row r="14" ht="54.0" customHeight="1">
      <c r="A14" s="46" t="s">
        <v>188</v>
      </c>
      <c r="B14" s="46" t="s">
        <v>94</v>
      </c>
      <c r="C14" s="46" t="s">
        <v>189</v>
      </c>
      <c r="D14" s="49" t="s">
        <v>190</v>
      </c>
      <c r="E14" s="49" t="s">
        <v>191</v>
      </c>
      <c r="F14" s="49" t="s">
        <v>101</v>
      </c>
      <c r="G14" s="49" t="s">
        <v>193</v>
      </c>
      <c r="H14" s="51" t="s">
        <v>103</v>
      </c>
      <c r="I14" s="60" t="s">
        <v>194</v>
      </c>
      <c r="J14" s="54"/>
      <c r="K14" s="54"/>
      <c r="L14" s="54"/>
      <c r="M14" s="54"/>
      <c r="N14" s="70" t="s">
        <v>168</v>
      </c>
      <c r="O14" s="55" t="s">
        <v>135</v>
      </c>
      <c r="P14" s="55" t="s">
        <v>115</v>
      </c>
      <c r="Q14" s="57">
        <v>46267.0</v>
      </c>
      <c r="R14" s="54"/>
    </row>
    <row r="15" ht="79.5" customHeight="1">
      <c r="A15" s="46" t="s">
        <v>196</v>
      </c>
      <c r="B15" s="46" t="s">
        <v>94</v>
      </c>
      <c r="C15" s="46" t="s">
        <v>189</v>
      </c>
      <c r="D15" s="59" t="s">
        <v>197</v>
      </c>
      <c r="E15" s="49" t="s">
        <v>198</v>
      </c>
      <c r="F15" s="59" t="s">
        <v>199</v>
      </c>
      <c r="G15" s="49" t="s">
        <v>200</v>
      </c>
      <c r="H15" s="51" t="s">
        <v>103</v>
      </c>
      <c r="I15" s="60" t="s">
        <v>201</v>
      </c>
      <c r="J15" s="54"/>
      <c r="K15" s="54"/>
      <c r="L15" s="55" t="s">
        <v>199</v>
      </c>
      <c r="M15" s="54"/>
      <c r="N15" s="56" t="s">
        <v>168</v>
      </c>
      <c r="O15" s="55" t="s">
        <v>135</v>
      </c>
      <c r="P15" s="55" t="s">
        <v>115</v>
      </c>
      <c r="Q15" s="57">
        <v>46267.0</v>
      </c>
      <c r="R15" s="54"/>
    </row>
    <row r="16" ht="78.75" customHeight="1">
      <c r="A16" s="46" t="s">
        <v>204</v>
      </c>
      <c r="B16" s="46" t="s">
        <v>94</v>
      </c>
      <c r="C16" s="46" t="s">
        <v>189</v>
      </c>
      <c r="D16" s="49" t="s">
        <v>205</v>
      </c>
      <c r="E16" s="49" t="s">
        <v>206</v>
      </c>
      <c r="F16" s="49" t="s">
        <v>207</v>
      </c>
      <c r="G16" s="49" t="s">
        <v>209</v>
      </c>
      <c r="H16" s="51" t="s">
        <v>103</v>
      </c>
      <c r="I16" s="60" t="s">
        <v>211</v>
      </c>
      <c r="J16" s="54"/>
      <c r="K16" s="54"/>
      <c r="L16" s="55" t="s">
        <v>143</v>
      </c>
      <c r="M16" s="54"/>
      <c r="N16" s="74" t="s">
        <v>212</v>
      </c>
      <c r="O16" s="55" t="s">
        <v>214</v>
      </c>
      <c r="P16" s="55" t="s">
        <v>149</v>
      </c>
      <c r="Q16" s="57">
        <v>46267.0</v>
      </c>
      <c r="R16" s="54"/>
    </row>
    <row r="17" ht="78.0" customHeight="1">
      <c r="A17" s="46" t="s">
        <v>216</v>
      </c>
      <c r="B17" s="46" t="s">
        <v>94</v>
      </c>
      <c r="C17" s="46" t="s">
        <v>217</v>
      </c>
      <c r="D17" s="49" t="s">
        <v>218</v>
      </c>
      <c r="E17" s="49" t="s">
        <v>219</v>
      </c>
      <c r="F17" s="49" t="s">
        <v>220</v>
      </c>
      <c r="G17" s="49" t="s">
        <v>221</v>
      </c>
      <c r="H17" s="51" t="s">
        <v>103</v>
      </c>
      <c r="I17" s="60" t="s">
        <v>222</v>
      </c>
      <c r="J17" s="54"/>
      <c r="K17" s="54"/>
      <c r="L17" s="54"/>
      <c r="M17" s="54"/>
      <c r="N17" s="61" t="s">
        <v>224</v>
      </c>
      <c r="O17" s="54"/>
      <c r="P17" s="54"/>
      <c r="Q17" s="57">
        <v>46267.0</v>
      </c>
      <c r="R17" s="54"/>
    </row>
    <row r="18" ht="54.0" customHeight="1">
      <c r="A18" s="46" t="s">
        <v>226</v>
      </c>
      <c r="B18" s="46" t="s">
        <v>94</v>
      </c>
      <c r="C18" s="46" t="s">
        <v>217</v>
      </c>
      <c r="D18" s="49" t="s">
        <v>228</v>
      </c>
      <c r="E18" s="49" t="s">
        <v>229</v>
      </c>
      <c r="F18" s="49" t="s">
        <v>111</v>
      </c>
      <c r="G18" s="49" t="s">
        <v>230</v>
      </c>
      <c r="H18" s="51" t="s">
        <v>103</v>
      </c>
      <c r="I18" s="53">
        <v>0.033</v>
      </c>
      <c r="J18" s="54"/>
      <c r="K18" s="54"/>
      <c r="L18" s="55">
        <v>2025.0</v>
      </c>
      <c r="M18" s="54"/>
      <c r="N18" s="56" t="s">
        <v>231</v>
      </c>
      <c r="O18" s="55" t="s">
        <v>148</v>
      </c>
      <c r="P18" s="55" t="s">
        <v>115</v>
      </c>
      <c r="Q18" s="57">
        <v>46267.0</v>
      </c>
      <c r="R18" s="54"/>
    </row>
    <row r="19" ht="54.0" customHeight="1">
      <c r="A19" s="46" t="s">
        <v>234</v>
      </c>
      <c r="B19" s="46" t="s">
        <v>235</v>
      </c>
      <c r="C19" s="46" t="s">
        <v>97</v>
      </c>
      <c r="D19" s="49" t="s">
        <v>236</v>
      </c>
      <c r="E19" s="49" t="s">
        <v>229</v>
      </c>
      <c r="F19" s="49" t="s">
        <v>237</v>
      </c>
      <c r="G19" s="49" t="s">
        <v>238</v>
      </c>
      <c r="H19" s="51" t="s">
        <v>103</v>
      </c>
      <c r="I19" s="60" t="s">
        <v>239</v>
      </c>
      <c r="J19" s="54"/>
      <c r="K19" s="54"/>
      <c r="L19" s="55">
        <v>2021.0</v>
      </c>
      <c r="M19" s="54"/>
      <c r="N19" s="70" t="s">
        <v>241</v>
      </c>
      <c r="O19" s="55" t="s">
        <v>148</v>
      </c>
      <c r="P19" s="55" t="s">
        <v>149</v>
      </c>
      <c r="Q19" s="57">
        <v>46267.0</v>
      </c>
      <c r="R19" s="55" t="s">
        <v>242</v>
      </c>
    </row>
    <row r="20" ht="54.0" customHeight="1">
      <c r="A20" s="46" t="s">
        <v>244</v>
      </c>
      <c r="B20" s="46" t="s">
        <v>235</v>
      </c>
      <c r="C20" s="46" t="s">
        <v>97</v>
      </c>
      <c r="D20" s="49" t="s">
        <v>245</v>
      </c>
      <c r="E20" s="49" t="s">
        <v>163</v>
      </c>
      <c r="F20" s="49" t="s">
        <v>101</v>
      </c>
      <c r="G20" s="49" t="s">
        <v>246</v>
      </c>
      <c r="H20" s="51" t="s">
        <v>103</v>
      </c>
      <c r="I20" s="60" t="s">
        <v>247</v>
      </c>
      <c r="J20" s="54"/>
      <c r="K20" s="54"/>
      <c r="L20" s="55">
        <v>2022.0</v>
      </c>
      <c r="M20" s="54"/>
      <c r="N20" s="70" t="s">
        <v>248</v>
      </c>
      <c r="O20" s="54"/>
      <c r="P20" s="54"/>
      <c r="Q20" s="57">
        <v>46267.0</v>
      </c>
      <c r="R20" s="54"/>
    </row>
    <row r="21" ht="54.0" customHeight="1">
      <c r="A21" s="46" t="s">
        <v>250</v>
      </c>
      <c r="B21" s="46" t="s">
        <v>235</v>
      </c>
      <c r="C21" s="46" t="s">
        <v>97</v>
      </c>
      <c r="D21" s="49" t="s">
        <v>251</v>
      </c>
      <c r="E21" s="49" t="s">
        <v>110</v>
      </c>
      <c r="F21" s="49" t="s">
        <v>111</v>
      </c>
      <c r="G21" s="49" t="s">
        <v>252</v>
      </c>
      <c r="H21" s="51" t="s">
        <v>103</v>
      </c>
      <c r="I21" s="60" t="s">
        <v>253</v>
      </c>
      <c r="J21" s="54"/>
      <c r="K21" s="54"/>
      <c r="L21" s="55">
        <v>2025.0</v>
      </c>
      <c r="M21" s="54"/>
      <c r="N21" s="70" t="s">
        <v>113</v>
      </c>
      <c r="O21" s="54"/>
      <c r="P21" s="54"/>
      <c r="Q21" s="57">
        <v>46267.0</v>
      </c>
      <c r="R21" s="54"/>
    </row>
    <row r="22" ht="99.75" customHeight="1">
      <c r="A22" s="46" t="s">
        <v>256</v>
      </c>
      <c r="B22" s="46" t="s">
        <v>235</v>
      </c>
      <c r="C22" s="46" t="s">
        <v>126</v>
      </c>
      <c r="D22" s="59" t="s">
        <v>257</v>
      </c>
      <c r="E22" s="49" t="s">
        <v>139</v>
      </c>
      <c r="F22" s="59" t="s">
        <v>258</v>
      </c>
      <c r="G22" s="49" t="s">
        <v>259</v>
      </c>
      <c r="H22" s="51" t="s">
        <v>103</v>
      </c>
      <c r="I22" s="60" t="s">
        <v>260</v>
      </c>
      <c r="J22" s="54"/>
      <c r="K22" s="54"/>
      <c r="L22" s="55" t="s">
        <v>258</v>
      </c>
      <c r="M22" s="54"/>
      <c r="N22" s="56" t="s">
        <v>263</v>
      </c>
      <c r="O22" s="54"/>
      <c r="P22" s="54"/>
      <c r="Q22" s="57">
        <v>46267.0</v>
      </c>
      <c r="R22" s="54"/>
    </row>
    <row r="23" ht="54.0" customHeight="1">
      <c r="A23" s="46" t="s">
        <v>264</v>
      </c>
      <c r="B23" s="46" t="s">
        <v>235</v>
      </c>
      <c r="C23" s="46" t="s">
        <v>126</v>
      </c>
      <c r="D23" s="59" t="s">
        <v>266</v>
      </c>
      <c r="E23" s="49" t="s">
        <v>175</v>
      </c>
      <c r="F23" s="49" t="s">
        <v>140</v>
      </c>
      <c r="G23" s="49" t="s">
        <v>267</v>
      </c>
      <c r="H23" s="51" t="s">
        <v>103</v>
      </c>
      <c r="I23" s="60" t="s">
        <v>268</v>
      </c>
      <c r="J23" s="55"/>
      <c r="K23" s="54"/>
      <c r="L23" s="55" t="s">
        <v>269</v>
      </c>
      <c r="M23" s="54"/>
      <c r="N23" s="70" t="s">
        <v>270</v>
      </c>
      <c r="O23" s="54"/>
      <c r="P23" s="54"/>
      <c r="Q23" s="57">
        <v>46267.0</v>
      </c>
      <c r="R23" s="54"/>
    </row>
    <row r="24" ht="54.0" customHeight="1">
      <c r="A24" s="46" t="s">
        <v>272</v>
      </c>
      <c r="B24" s="46" t="s">
        <v>235</v>
      </c>
      <c r="C24" s="46" t="s">
        <v>126</v>
      </c>
      <c r="D24" s="59" t="s">
        <v>273</v>
      </c>
      <c r="E24" s="49" t="s">
        <v>274</v>
      </c>
      <c r="F24" s="49" t="s">
        <v>275</v>
      </c>
      <c r="G24" s="49" t="s">
        <v>276</v>
      </c>
      <c r="H24" s="51" t="s">
        <v>103</v>
      </c>
      <c r="I24" s="60" t="s">
        <v>277</v>
      </c>
      <c r="J24" s="54"/>
      <c r="K24" s="54"/>
      <c r="L24" s="55" t="s">
        <v>280</v>
      </c>
      <c r="M24" s="54"/>
      <c r="N24" s="56" t="s">
        <v>282</v>
      </c>
      <c r="O24" s="54"/>
      <c r="P24" s="54"/>
      <c r="Q24" s="57">
        <v>46267.0</v>
      </c>
      <c r="R24" s="54"/>
    </row>
    <row r="25" ht="54.0" customHeight="1">
      <c r="A25" s="46" t="s">
        <v>283</v>
      </c>
      <c r="B25" s="46" t="s">
        <v>235</v>
      </c>
      <c r="C25" s="46" t="s">
        <v>161</v>
      </c>
      <c r="D25" s="59" t="s">
        <v>285</v>
      </c>
      <c r="E25" s="49" t="s">
        <v>110</v>
      </c>
      <c r="F25" s="59" t="s">
        <v>287</v>
      </c>
      <c r="G25" s="49" t="s">
        <v>288</v>
      </c>
      <c r="H25" s="51" t="s">
        <v>103</v>
      </c>
      <c r="I25" s="60" t="s">
        <v>289</v>
      </c>
      <c r="J25" s="54"/>
      <c r="K25" s="54"/>
      <c r="L25" s="55" t="s">
        <v>287</v>
      </c>
      <c r="M25" s="54"/>
      <c r="N25" s="70" t="s">
        <v>290</v>
      </c>
      <c r="O25" s="54"/>
      <c r="P25" s="54"/>
      <c r="Q25" s="57">
        <v>46267.0</v>
      </c>
      <c r="R25" s="54"/>
    </row>
    <row r="26" ht="54.0" customHeight="1">
      <c r="A26" s="46" t="s">
        <v>292</v>
      </c>
      <c r="B26" s="46" t="s">
        <v>235</v>
      </c>
      <c r="C26" s="46" t="s">
        <v>173</v>
      </c>
      <c r="D26" s="59" t="s">
        <v>293</v>
      </c>
      <c r="E26" s="49" t="s">
        <v>163</v>
      </c>
      <c r="F26" s="59" t="s">
        <v>153</v>
      </c>
      <c r="G26" s="49" t="s">
        <v>294</v>
      </c>
      <c r="H26" s="51" t="s">
        <v>103</v>
      </c>
      <c r="I26" s="60" t="s">
        <v>295</v>
      </c>
      <c r="J26" s="54"/>
      <c r="K26" s="54"/>
      <c r="L26" s="55" t="s">
        <v>153</v>
      </c>
      <c r="M26" s="54"/>
      <c r="N26" s="56" t="s">
        <v>297</v>
      </c>
      <c r="O26" s="54"/>
      <c r="P26" s="54"/>
      <c r="Q26" s="57">
        <v>46267.0</v>
      </c>
      <c r="R26" s="54"/>
    </row>
    <row r="27" ht="54.0" customHeight="1">
      <c r="A27" s="46" t="s">
        <v>300</v>
      </c>
      <c r="B27" s="46" t="s">
        <v>235</v>
      </c>
      <c r="C27" s="46" t="s">
        <v>182</v>
      </c>
      <c r="D27" s="59" t="s">
        <v>301</v>
      </c>
      <c r="E27" s="49" t="s">
        <v>229</v>
      </c>
      <c r="F27" s="49" t="s">
        <v>302</v>
      </c>
      <c r="G27" s="49" t="s">
        <v>303</v>
      </c>
      <c r="H27" s="51" t="s">
        <v>103</v>
      </c>
      <c r="I27" s="60" t="s">
        <v>305</v>
      </c>
      <c r="J27" s="54"/>
      <c r="K27" s="54"/>
      <c r="L27" s="55" t="s">
        <v>306</v>
      </c>
      <c r="M27" s="54"/>
      <c r="N27" s="56" t="s">
        <v>241</v>
      </c>
      <c r="O27" s="54"/>
      <c r="P27" s="54"/>
      <c r="Q27" s="57">
        <v>46267.0</v>
      </c>
      <c r="R27" s="54"/>
    </row>
    <row r="28" ht="54.0" customHeight="1">
      <c r="A28" s="46" t="s">
        <v>307</v>
      </c>
      <c r="B28" s="46" t="s">
        <v>235</v>
      </c>
      <c r="C28" s="46" t="s">
        <v>189</v>
      </c>
      <c r="D28" s="59" t="s">
        <v>308</v>
      </c>
      <c r="E28" s="49" t="s">
        <v>198</v>
      </c>
      <c r="F28" s="49" t="s">
        <v>111</v>
      </c>
      <c r="G28" s="49" t="s">
        <v>311</v>
      </c>
      <c r="H28" s="51" t="s">
        <v>103</v>
      </c>
      <c r="I28" s="60" t="s">
        <v>312</v>
      </c>
      <c r="J28" s="54"/>
      <c r="K28" s="54"/>
      <c r="L28" s="54"/>
      <c r="M28" s="54"/>
      <c r="N28" s="54"/>
      <c r="O28" s="54"/>
      <c r="P28" s="54"/>
      <c r="Q28" s="57">
        <v>46267.0</v>
      </c>
      <c r="R28" s="54"/>
    </row>
    <row r="29" ht="54.0" customHeight="1">
      <c r="A29" s="46" t="s">
        <v>313</v>
      </c>
      <c r="B29" s="46" t="s">
        <v>235</v>
      </c>
      <c r="C29" s="46" t="s">
        <v>189</v>
      </c>
      <c r="D29" s="59" t="s">
        <v>316</v>
      </c>
      <c r="E29" s="49" t="s">
        <v>317</v>
      </c>
      <c r="F29" s="59" t="s">
        <v>143</v>
      </c>
      <c r="G29" s="49" t="s">
        <v>318</v>
      </c>
      <c r="H29" s="51" t="s">
        <v>103</v>
      </c>
      <c r="I29" s="60" t="s">
        <v>319</v>
      </c>
      <c r="J29" s="54"/>
      <c r="K29" s="54"/>
      <c r="L29" s="55" t="s">
        <v>143</v>
      </c>
      <c r="M29" s="54"/>
      <c r="N29" s="70" t="s">
        <v>241</v>
      </c>
      <c r="O29" s="54"/>
      <c r="P29" s="54"/>
      <c r="Q29" s="57">
        <v>46267.0</v>
      </c>
      <c r="R29" s="54"/>
    </row>
    <row r="30" ht="54.0" customHeight="1">
      <c r="A30" s="46" t="s">
        <v>321</v>
      </c>
      <c r="B30" s="46" t="s">
        <v>235</v>
      </c>
      <c r="C30" s="46" t="s">
        <v>189</v>
      </c>
      <c r="D30" s="59" t="s">
        <v>323</v>
      </c>
      <c r="E30" s="49" t="s">
        <v>324</v>
      </c>
      <c r="F30" s="49" t="s">
        <v>111</v>
      </c>
      <c r="G30" s="49" t="s">
        <v>325</v>
      </c>
      <c r="H30" s="51" t="s">
        <v>103</v>
      </c>
      <c r="I30" s="60" t="s">
        <v>326</v>
      </c>
      <c r="J30" s="54"/>
      <c r="K30" s="54"/>
      <c r="L30" s="55" t="s">
        <v>327</v>
      </c>
      <c r="M30" s="54"/>
      <c r="N30" s="56" t="s">
        <v>241</v>
      </c>
      <c r="O30" s="54"/>
      <c r="P30" s="54"/>
      <c r="Q30" s="57">
        <v>46267.0</v>
      </c>
      <c r="R30" s="54"/>
    </row>
    <row r="31" ht="54.0" customHeight="1">
      <c r="A31" s="46" t="s">
        <v>330</v>
      </c>
      <c r="B31" s="46" t="s">
        <v>235</v>
      </c>
      <c r="C31" s="46" t="s">
        <v>217</v>
      </c>
      <c r="D31" s="49" t="s">
        <v>332</v>
      </c>
      <c r="E31" s="49" t="s">
        <v>333</v>
      </c>
      <c r="F31" s="49" t="s">
        <v>220</v>
      </c>
      <c r="G31" s="49" t="s">
        <v>334</v>
      </c>
      <c r="H31" s="51" t="s">
        <v>103</v>
      </c>
      <c r="I31" s="60" t="s">
        <v>335</v>
      </c>
      <c r="J31" s="54"/>
      <c r="K31" s="54"/>
      <c r="L31" s="54"/>
      <c r="M31" s="54"/>
      <c r="N31" s="54"/>
      <c r="O31" s="54"/>
      <c r="P31" s="54"/>
      <c r="Q31" s="57">
        <v>46267.0</v>
      </c>
      <c r="R31" s="54"/>
    </row>
    <row r="32" ht="54.0" customHeight="1">
      <c r="A32" s="46" t="s">
        <v>336</v>
      </c>
      <c r="B32" s="46" t="s">
        <v>337</v>
      </c>
      <c r="C32" s="46" t="s">
        <v>97</v>
      </c>
      <c r="D32" s="49" t="s">
        <v>338</v>
      </c>
      <c r="E32" s="49" t="s">
        <v>339</v>
      </c>
      <c r="F32" s="49" t="s">
        <v>237</v>
      </c>
      <c r="G32" s="49" t="s">
        <v>340</v>
      </c>
      <c r="H32" s="51" t="s">
        <v>103</v>
      </c>
      <c r="I32" s="60" t="s">
        <v>341</v>
      </c>
      <c r="J32" s="54"/>
      <c r="K32" s="54"/>
      <c r="L32" s="55">
        <v>2021.0</v>
      </c>
      <c r="M32" s="54"/>
      <c r="N32" s="70" t="s">
        <v>342</v>
      </c>
      <c r="O32" s="54"/>
      <c r="P32" s="54"/>
      <c r="Q32" s="57">
        <v>46267.0</v>
      </c>
      <c r="R32" s="54"/>
    </row>
    <row r="33" ht="54.0" customHeight="1">
      <c r="A33" s="46" t="s">
        <v>343</v>
      </c>
      <c r="B33" s="46" t="s">
        <v>337</v>
      </c>
      <c r="C33" s="46" t="s">
        <v>126</v>
      </c>
      <c r="D33" s="59" t="s">
        <v>344</v>
      </c>
      <c r="E33" s="49" t="s">
        <v>339</v>
      </c>
      <c r="F33" s="49" t="s">
        <v>345</v>
      </c>
      <c r="G33" s="49" t="s">
        <v>346</v>
      </c>
      <c r="H33" s="51" t="s">
        <v>103</v>
      </c>
      <c r="I33" s="60" t="s">
        <v>347</v>
      </c>
      <c r="J33" s="54"/>
      <c r="K33" s="54"/>
      <c r="L33" s="55" t="s">
        <v>280</v>
      </c>
      <c r="M33" s="54"/>
      <c r="N33" s="70" t="s">
        <v>342</v>
      </c>
      <c r="O33" s="54"/>
      <c r="P33" s="54"/>
      <c r="Q33" s="57">
        <v>46267.0</v>
      </c>
      <c r="R33" s="54"/>
    </row>
    <row r="34" ht="54.0" customHeight="1">
      <c r="A34" s="46" t="s">
        <v>348</v>
      </c>
      <c r="B34" s="46" t="s">
        <v>349</v>
      </c>
      <c r="C34" s="46" t="s">
        <v>350</v>
      </c>
      <c r="D34" s="59" t="s">
        <v>351</v>
      </c>
      <c r="E34" s="49" t="s">
        <v>100</v>
      </c>
      <c r="F34" s="49" t="s">
        <v>352</v>
      </c>
      <c r="G34" s="49" t="s">
        <v>353</v>
      </c>
      <c r="H34" s="51" t="s">
        <v>103</v>
      </c>
      <c r="I34" s="60" t="s">
        <v>354</v>
      </c>
      <c r="J34" s="54"/>
      <c r="K34" s="54"/>
      <c r="L34" s="54"/>
      <c r="M34" s="54"/>
      <c r="N34" s="70" t="s">
        <v>355</v>
      </c>
      <c r="O34" s="54"/>
      <c r="P34" s="54"/>
      <c r="Q34" s="57">
        <v>46267.0</v>
      </c>
      <c r="R34" s="54"/>
    </row>
    <row r="35" ht="15.75" customHeight="1">
      <c r="I35" s="77"/>
    </row>
    <row r="36" ht="15.75" customHeight="1">
      <c r="I36" s="77"/>
    </row>
    <row r="37" ht="15.75" customHeight="1">
      <c r="I37" s="77"/>
    </row>
    <row r="38" ht="15.75" customHeight="1">
      <c r="I38" s="77"/>
    </row>
    <row r="39" ht="15.75" customHeight="1">
      <c r="I39" s="77"/>
    </row>
    <row r="40" ht="15.75" customHeight="1">
      <c r="I40" s="77"/>
    </row>
    <row r="41" ht="15.75" customHeight="1">
      <c r="I41" s="77"/>
    </row>
    <row r="42" ht="15.75" customHeight="1">
      <c r="I42" s="77"/>
    </row>
    <row r="43" ht="15.75" customHeight="1">
      <c r="I43" s="77"/>
    </row>
    <row r="44" ht="15.75" customHeight="1">
      <c r="I44" s="77"/>
    </row>
    <row r="45" ht="15.75" customHeight="1">
      <c r="I45" s="77"/>
    </row>
    <row r="46" ht="15.75" customHeight="1">
      <c r="I46" s="77"/>
    </row>
    <row r="47" ht="15.75" customHeight="1">
      <c r="I47" s="77"/>
    </row>
    <row r="48" ht="15.75" customHeight="1">
      <c r="I48" s="77"/>
    </row>
    <row r="49" ht="15.75" customHeight="1">
      <c r="I49" s="77"/>
    </row>
    <row r="50" ht="15.75" customHeight="1">
      <c r="I50" s="77"/>
    </row>
    <row r="51" ht="15.75" customHeight="1">
      <c r="I51" s="77"/>
    </row>
    <row r="52" ht="15.75" customHeight="1">
      <c r="I52" s="77"/>
    </row>
    <row r="53" ht="15.75" customHeight="1">
      <c r="I53" s="77"/>
    </row>
    <row r="54" ht="15.75" customHeight="1">
      <c r="I54" s="77"/>
    </row>
    <row r="55" ht="15.75" customHeight="1">
      <c r="I55" s="77"/>
    </row>
    <row r="56" ht="15.75" customHeight="1">
      <c r="I56" s="77"/>
    </row>
    <row r="57" ht="15.75" customHeight="1">
      <c r="I57" s="77"/>
    </row>
    <row r="58" ht="15.75" customHeight="1">
      <c r="I58" s="77"/>
    </row>
    <row r="59" ht="15.75" customHeight="1">
      <c r="I59" s="77"/>
    </row>
    <row r="60" ht="15.75" customHeight="1">
      <c r="I60" s="77"/>
    </row>
    <row r="61" ht="15.75" customHeight="1">
      <c r="I61" s="77"/>
    </row>
    <row r="62" ht="15.75" customHeight="1">
      <c r="I62" s="77"/>
    </row>
    <row r="63" ht="15.75" customHeight="1">
      <c r="I63" s="77"/>
    </row>
    <row r="64" ht="15.75" customHeight="1">
      <c r="I64" s="77"/>
    </row>
    <row r="65" ht="15.75" customHeight="1">
      <c r="I65" s="77"/>
    </row>
    <row r="66" ht="15.75" customHeight="1">
      <c r="I66" s="77"/>
    </row>
    <row r="67" ht="15.75" customHeight="1">
      <c r="I67" s="77"/>
    </row>
    <row r="68" ht="15.75" customHeight="1">
      <c r="I68" s="77"/>
    </row>
    <row r="69" ht="15.75" customHeight="1">
      <c r="I69" s="77"/>
    </row>
    <row r="70" ht="15.75" customHeight="1">
      <c r="I70" s="77"/>
    </row>
    <row r="71" ht="15.75" customHeight="1">
      <c r="I71" s="77"/>
    </row>
    <row r="72" ht="15.75" customHeight="1">
      <c r="I72" s="77"/>
    </row>
    <row r="73" ht="15.75" customHeight="1">
      <c r="I73" s="77"/>
    </row>
    <row r="74" ht="15.75" customHeight="1">
      <c r="I74" s="77"/>
    </row>
    <row r="75" ht="15.75" customHeight="1">
      <c r="I75" s="77"/>
    </row>
    <row r="76" ht="15.75" customHeight="1">
      <c r="I76" s="77"/>
    </row>
    <row r="77" ht="15.75" customHeight="1">
      <c r="I77" s="77"/>
    </row>
    <row r="78" ht="15.75" customHeight="1">
      <c r="I78" s="77"/>
    </row>
    <row r="79" ht="15.75" customHeight="1">
      <c r="I79" s="77"/>
    </row>
    <row r="80" ht="15.75" customHeight="1">
      <c r="I80" s="77"/>
    </row>
    <row r="81" ht="15.75" customHeight="1">
      <c r="I81" s="77"/>
    </row>
    <row r="82" ht="15.75" customHeight="1">
      <c r="I82" s="77"/>
    </row>
    <row r="83" ht="15.75" customHeight="1">
      <c r="I83" s="77"/>
    </row>
    <row r="84" ht="15.75" customHeight="1">
      <c r="I84" s="77"/>
    </row>
    <row r="85" ht="15.75" customHeight="1">
      <c r="I85" s="77"/>
    </row>
    <row r="86" ht="15.75" customHeight="1">
      <c r="I86" s="77"/>
    </row>
    <row r="87" ht="15.75" customHeight="1">
      <c r="I87" s="77"/>
    </row>
    <row r="88" ht="15.75" customHeight="1">
      <c r="I88" s="77"/>
    </row>
    <row r="89" ht="15.75" customHeight="1">
      <c r="I89" s="77"/>
    </row>
    <row r="90" ht="15.75" customHeight="1">
      <c r="I90" s="77"/>
    </row>
    <row r="91" ht="15.75" customHeight="1">
      <c r="I91" s="77"/>
    </row>
    <row r="92" ht="15.75" customHeight="1">
      <c r="I92" s="77"/>
    </row>
    <row r="93" ht="15.75" customHeight="1">
      <c r="I93" s="77"/>
    </row>
    <row r="94" ht="15.75" customHeight="1">
      <c r="I94" s="77"/>
    </row>
    <row r="95" ht="15.75" customHeight="1">
      <c r="I95" s="77"/>
    </row>
    <row r="96" ht="15.75" customHeight="1">
      <c r="I96" s="77"/>
    </row>
    <row r="97" ht="15.75" customHeight="1">
      <c r="I97" s="77"/>
    </row>
    <row r="98" ht="15.75" customHeight="1">
      <c r="I98" s="77"/>
    </row>
    <row r="99" ht="15.75" customHeight="1">
      <c r="I99" s="77"/>
    </row>
    <row r="100" ht="15.75" customHeight="1">
      <c r="I100" s="77"/>
    </row>
    <row r="101" ht="15.75" customHeight="1">
      <c r="I101" s="77"/>
    </row>
    <row r="102" ht="15.75" customHeight="1">
      <c r="I102" s="77"/>
    </row>
    <row r="103" ht="15.75" customHeight="1">
      <c r="I103" s="77"/>
    </row>
    <row r="104" ht="15.75" customHeight="1">
      <c r="I104" s="77"/>
    </row>
    <row r="105" ht="15.75" customHeight="1">
      <c r="I105" s="77"/>
    </row>
    <row r="106" ht="15.75" customHeight="1">
      <c r="I106" s="77"/>
    </row>
    <row r="107" ht="15.75" customHeight="1">
      <c r="I107" s="77"/>
    </row>
    <row r="108" ht="15.75" customHeight="1">
      <c r="I108" s="77"/>
    </row>
    <row r="109" ht="15.75" customHeight="1">
      <c r="I109" s="77"/>
    </row>
    <row r="110" ht="15.75" customHeight="1">
      <c r="I110" s="77"/>
    </row>
    <row r="111" ht="15.75" customHeight="1">
      <c r="I111" s="77"/>
    </row>
    <row r="112" ht="15.75" customHeight="1">
      <c r="I112" s="77"/>
    </row>
    <row r="113" ht="15.75" customHeight="1">
      <c r="I113" s="77"/>
    </row>
    <row r="114" ht="15.75" customHeight="1">
      <c r="I114" s="77"/>
    </row>
    <row r="115" ht="15.75" customHeight="1">
      <c r="I115" s="77"/>
    </row>
    <row r="116" ht="15.75" customHeight="1">
      <c r="I116" s="77"/>
    </row>
    <row r="117" ht="15.75" customHeight="1">
      <c r="I117" s="77"/>
    </row>
    <row r="118" ht="15.75" customHeight="1">
      <c r="I118" s="77"/>
    </row>
    <row r="119" ht="15.75" customHeight="1">
      <c r="I119" s="77"/>
    </row>
    <row r="120" ht="15.75" customHeight="1">
      <c r="I120" s="77"/>
    </row>
    <row r="121" ht="15.75" customHeight="1">
      <c r="I121" s="77"/>
    </row>
    <row r="122" ht="15.75" customHeight="1">
      <c r="I122" s="77"/>
    </row>
    <row r="123" ht="15.75" customHeight="1">
      <c r="I123" s="77"/>
    </row>
    <row r="124" ht="15.75" customHeight="1">
      <c r="I124" s="77"/>
    </row>
    <row r="125" ht="15.75" customHeight="1">
      <c r="I125" s="77"/>
    </row>
    <row r="126" ht="15.75" customHeight="1">
      <c r="I126" s="77"/>
    </row>
    <row r="127" ht="15.75" customHeight="1">
      <c r="I127" s="77"/>
    </row>
    <row r="128" ht="15.75" customHeight="1">
      <c r="I128" s="77"/>
    </row>
    <row r="129" ht="15.75" customHeight="1">
      <c r="I129" s="77"/>
    </row>
    <row r="130" ht="15.75" customHeight="1">
      <c r="I130" s="77"/>
    </row>
    <row r="131" ht="15.75" customHeight="1">
      <c r="I131" s="77"/>
    </row>
    <row r="132" ht="15.75" customHeight="1">
      <c r="I132" s="77"/>
    </row>
    <row r="133" ht="15.75" customHeight="1">
      <c r="I133" s="77"/>
    </row>
    <row r="134" ht="15.75" customHeight="1">
      <c r="I134" s="77"/>
    </row>
    <row r="135" ht="15.75" customHeight="1">
      <c r="I135" s="77"/>
    </row>
    <row r="136" ht="15.75" customHeight="1">
      <c r="I136" s="77"/>
    </row>
    <row r="137" ht="15.75" customHeight="1">
      <c r="I137" s="77"/>
    </row>
    <row r="138" ht="15.75" customHeight="1">
      <c r="I138" s="77"/>
    </row>
    <row r="139" ht="15.75" customHeight="1">
      <c r="I139" s="77"/>
    </row>
    <row r="140" ht="15.75" customHeight="1">
      <c r="I140" s="77"/>
    </row>
    <row r="141" ht="15.75" customHeight="1">
      <c r="I141" s="77"/>
    </row>
    <row r="142" ht="15.75" customHeight="1">
      <c r="I142" s="77"/>
    </row>
    <row r="143" ht="15.75" customHeight="1">
      <c r="I143" s="77"/>
    </row>
    <row r="144" ht="15.75" customHeight="1">
      <c r="I144" s="77"/>
    </row>
    <row r="145" ht="15.75" customHeight="1">
      <c r="I145" s="77"/>
    </row>
    <row r="146" ht="15.75" customHeight="1">
      <c r="I146" s="77"/>
    </row>
    <row r="147" ht="15.75" customHeight="1">
      <c r="I147" s="77"/>
    </row>
    <row r="148" ht="15.75" customHeight="1">
      <c r="I148" s="77"/>
    </row>
    <row r="149" ht="15.75" customHeight="1">
      <c r="I149" s="77"/>
    </row>
    <row r="150" ht="15.75" customHeight="1">
      <c r="I150" s="77"/>
    </row>
    <row r="151" ht="15.75" customHeight="1">
      <c r="I151" s="77"/>
    </row>
    <row r="152" ht="15.75" customHeight="1">
      <c r="I152" s="77"/>
    </row>
    <row r="153" ht="15.75" customHeight="1">
      <c r="I153" s="77"/>
    </row>
    <row r="154" ht="15.75" customHeight="1">
      <c r="I154" s="77"/>
    </row>
    <row r="155" ht="15.75" customHeight="1">
      <c r="I155" s="77"/>
    </row>
    <row r="156" ht="15.75" customHeight="1">
      <c r="I156" s="77"/>
    </row>
    <row r="157" ht="15.75" customHeight="1">
      <c r="I157" s="77"/>
    </row>
    <row r="158" ht="15.75" customHeight="1">
      <c r="I158" s="77"/>
    </row>
    <row r="159" ht="15.75" customHeight="1">
      <c r="I159" s="77"/>
    </row>
    <row r="160" ht="15.75" customHeight="1">
      <c r="I160" s="77"/>
    </row>
    <row r="161" ht="15.75" customHeight="1">
      <c r="I161" s="77"/>
    </row>
    <row r="162" ht="15.75" customHeight="1">
      <c r="I162" s="77"/>
    </row>
    <row r="163" ht="15.75" customHeight="1">
      <c r="I163" s="77"/>
    </row>
    <row r="164" ht="15.75" customHeight="1">
      <c r="I164" s="77"/>
    </row>
    <row r="165" ht="15.75" customHeight="1">
      <c r="I165" s="77"/>
    </row>
    <row r="166" ht="15.75" customHeight="1">
      <c r="I166" s="77"/>
    </row>
    <row r="167" ht="15.75" customHeight="1">
      <c r="I167" s="77"/>
    </row>
    <row r="168" ht="15.75" customHeight="1">
      <c r="I168" s="77"/>
    </row>
    <row r="169" ht="15.75" customHeight="1">
      <c r="I169" s="77"/>
    </row>
    <row r="170" ht="15.75" customHeight="1">
      <c r="I170" s="77"/>
    </row>
    <row r="171" ht="15.75" customHeight="1">
      <c r="I171" s="77"/>
    </row>
    <row r="172" ht="15.75" customHeight="1">
      <c r="I172" s="77"/>
    </row>
    <row r="173" ht="15.75" customHeight="1">
      <c r="I173" s="77"/>
    </row>
    <row r="174" ht="15.75" customHeight="1">
      <c r="I174" s="77"/>
    </row>
    <row r="175" ht="15.75" customHeight="1">
      <c r="I175" s="77"/>
    </row>
    <row r="176" ht="15.75" customHeight="1">
      <c r="I176" s="77"/>
    </row>
    <row r="177" ht="15.75" customHeight="1">
      <c r="I177" s="77"/>
    </row>
    <row r="178" ht="15.75" customHeight="1">
      <c r="I178" s="77"/>
    </row>
    <row r="179" ht="15.75" customHeight="1">
      <c r="I179" s="77"/>
    </row>
    <row r="180" ht="15.75" customHeight="1">
      <c r="I180" s="77"/>
    </row>
    <row r="181" ht="15.75" customHeight="1">
      <c r="I181" s="77"/>
    </row>
    <row r="182" ht="15.75" customHeight="1">
      <c r="I182" s="77"/>
    </row>
    <row r="183" ht="15.75" customHeight="1">
      <c r="I183" s="77"/>
    </row>
    <row r="184" ht="15.75" customHeight="1">
      <c r="I184" s="77"/>
    </row>
    <row r="185" ht="15.75" customHeight="1">
      <c r="I185" s="77"/>
    </row>
    <row r="186" ht="15.75" customHeight="1">
      <c r="I186" s="77"/>
    </row>
    <row r="187" ht="15.75" customHeight="1">
      <c r="I187" s="77"/>
    </row>
    <row r="188" ht="15.75" customHeight="1">
      <c r="I188" s="77"/>
    </row>
    <row r="189" ht="15.75" customHeight="1">
      <c r="I189" s="77"/>
    </row>
    <row r="190" ht="15.75" customHeight="1">
      <c r="I190" s="77"/>
    </row>
    <row r="191" ht="15.75" customHeight="1">
      <c r="I191" s="77"/>
    </row>
    <row r="192" ht="15.75" customHeight="1">
      <c r="I192" s="77"/>
    </row>
    <row r="193" ht="15.75" customHeight="1">
      <c r="I193" s="77"/>
    </row>
    <row r="194" ht="15.75" customHeight="1">
      <c r="I194" s="77"/>
    </row>
    <row r="195" ht="15.75" customHeight="1">
      <c r="I195" s="77"/>
    </row>
    <row r="196" ht="15.75" customHeight="1">
      <c r="I196" s="77"/>
    </row>
    <row r="197" ht="15.75" customHeight="1">
      <c r="I197" s="77"/>
    </row>
    <row r="198" ht="15.75" customHeight="1">
      <c r="I198" s="77"/>
    </row>
    <row r="199" ht="15.75" customHeight="1">
      <c r="I199" s="77"/>
    </row>
    <row r="200" ht="15.75" customHeight="1">
      <c r="I200" s="77"/>
    </row>
    <row r="201" ht="15.75" customHeight="1">
      <c r="I201" s="77"/>
    </row>
    <row r="202" ht="15.75" customHeight="1">
      <c r="I202" s="77"/>
    </row>
    <row r="203" ht="15.75" customHeight="1">
      <c r="I203" s="77"/>
    </row>
    <row r="204" ht="15.75" customHeight="1">
      <c r="I204" s="77"/>
    </row>
    <row r="205" ht="15.75" customHeight="1">
      <c r="I205" s="77"/>
    </row>
    <row r="206" ht="15.75" customHeight="1">
      <c r="I206" s="77"/>
    </row>
    <row r="207" ht="15.75" customHeight="1">
      <c r="I207" s="77"/>
    </row>
    <row r="208" ht="15.75" customHeight="1">
      <c r="I208" s="77"/>
    </row>
    <row r="209" ht="15.75" customHeight="1">
      <c r="I209" s="77"/>
    </row>
    <row r="210" ht="15.75" customHeight="1">
      <c r="I210" s="77"/>
    </row>
    <row r="211" ht="15.75" customHeight="1">
      <c r="I211" s="77"/>
    </row>
    <row r="212" ht="15.75" customHeight="1">
      <c r="I212" s="77"/>
    </row>
    <row r="213" ht="15.75" customHeight="1">
      <c r="I213" s="77"/>
    </row>
    <row r="214" ht="15.75" customHeight="1">
      <c r="I214" s="77"/>
    </row>
    <row r="215" ht="15.75" customHeight="1">
      <c r="I215" s="77"/>
    </row>
    <row r="216" ht="15.75" customHeight="1">
      <c r="I216" s="77"/>
    </row>
    <row r="217" ht="15.75" customHeight="1">
      <c r="I217" s="77"/>
    </row>
    <row r="218" ht="15.75" customHeight="1">
      <c r="I218" s="77"/>
    </row>
    <row r="219" ht="15.75" customHeight="1">
      <c r="I219" s="77"/>
    </row>
    <row r="220" ht="15.75" customHeight="1">
      <c r="I220" s="77"/>
    </row>
    <row r="221" ht="15.75" customHeight="1">
      <c r="I221" s="77"/>
    </row>
    <row r="222" ht="15.75" customHeight="1">
      <c r="I222" s="77"/>
    </row>
    <row r="223" ht="15.75" customHeight="1">
      <c r="I223" s="77"/>
    </row>
    <row r="224" ht="15.75" customHeight="1">
      <c r="I224" s="77"/>
    </row>
    <row r="225" ht="15.75" customHeight="1">
      <c r="I225" s="77"/>
    </row>
    <row r="226" ht="15.75" customHeight="1">
      <c r="I226" s="77"/>
    </row>
    <row r="227" ht="15.75" customHeight="1">
      <c r="I227" s="77"/>
    </row>
    <row r="228" ht="15.75" customHeight="1">
      <c r="I228" s="77"/>
    </row>
    <row r="229" ht="15.75" customHeight="1">
      <c r="I229" s="77"/>
    </row>
    <row r="230" ht="15.75" customHeight="1">
      <c r="I230" s="77"/>
    </row>
    <row r="231" ht="15.75" customHeight="1">
      <c r="I231" s="77"/>
    </row>
    <row r="232" ht="15.75" customHeight="1">
      <c r="I232" s="77"/>
    </row>
    <row r="233" ht="15.75" customHeight="1">
      <c r="I233" s="77"/>
    </row>
    <row r="234" ht="15.75" customHeight="1">
      <c r="I234" s="77"/>
    </row>
    <row r="235" ht="15.75" customHeight="1">
      <c r="I235" s="77"/>
    </row>
    <row r="236" ht="15.75" customHeight="1">
      <c r="I236" s="77"/>
    </row>
    <row r="237" ht="15.75" customHeight="1">
      <c r="I237" s="77"/>
    </row>
    <row r="238" ht="15.75" customHeight="1">
      <c r="I238" s="77"/>
    </row>
    <row r="239" ht="15.75" customHeight="1">
      <c r="I239" s="77"/>
    </row>
    <row r="240" ht="15.75" customHeight="1">
      <c r="I240" s="77"/>
    </row>
    <row r="241" ht="15.75" customHeight="1">
      <c r="I241" s="77"/>
    </row>
    <row r="242" ht="15.75" customHeight="1">
      <c r="I242" s="77"/>
    </row>
    <row r="243" ht="15.75" customHeight="1">
      <c r="I243" s="77"/>
    </row>
    <row r="244" ht="15.75" customHeight="1">
      <c r="I244" s="77"/>
    </row>
    <row r="245" ht="15.75" customHeight="1">
      <c r="I245" s="77"/>
    </row>
    <row r="246" ht="15.75" customHeight="1">
      <c r="I246" s="77"/>
    </row>
    <row r="247" ht="15.75" customHeight="1">
      <c r="I247" s="77"/>
    </row>
    <row r="248" ht="15.75" customHeight="1">
      <c r="I248" s="77"/>
    </row>
    <row r="249" ht="15.75" customHeight="1">
      <c r="I249" s="77"/>
    </row>
    <row r="250" ht="15.75" customHeight="1">
      <c r="I250" s="77"/>
    </row>
    <row r="251" ht="15.75" customHeight="1">
      <c r="I251" s="77"/>
    </row>
    <row r="252" ht="15.75" customHeight="1">
      <c r="I252" s="77"/>
    </row>
    <row r="253" ht="15.75" customHeight="1">
      <c r="I253" s="77"/>
    </row>
    <row r="254" ht="15.75" customHeight="1">
      <c r="I254" s="77"/>
    </row>
    <row r="255" ht="15.75" customHeight="1">
      <c r="I255" s="77"/>
    </row>
    <row r="256" ht="15.75" customHeight="1">
      <c r="I256" s="77"/>
    </row>
    <row r="257" ht="15.75" customHeight="1">
      <c r="I257" s="77"/>
    </row>
    <row r="258" ht="15.75" customHeight="1">
      <c r="I258" s="77"/>
    </row>
    <row r="259" ht="15.75" customHeight="1">
      <c r="I259" s="77"/>
    </row>
    <row r="260" ht="15.75" customHeight="1">
      <c r="I260" s="77"/>
    </row>
    <row r="261" ht="15.75" customHeight="1">
      <c r="I261" s="77"/>
    </row>
    <row r="262" ht="15.75" customHeight="1">
      <c r="I262" s="77"/>
    </row>
    <row r="263" ht="15.75" customHeight="1">
      <c r="I263" s="77"/>
    </row>
    <row r="264" ht="15.75" customHeight="1">
      <c r="I264" s="77"/>
    </row>
    <row r="265" ht="15.75" customHeight="1">
      <c r="I265" s="77"/>
    </row>
    <row r="266" ht="15.75" customHeight="1">
      <c r="I266" s="77"/>
    </row>
    <row r="267" ht="15.75" customHeight="1">
      <c r="I267" s="77"/>
    </row>
    <row r="268" ht="15.75" customHeight="1">
      <c r="I268" s="77"/>
    </row>
    <row r="269" ht="15.75" customHeight="1">
      <c r="I269" s="77"/>
    </row>
    <row r="270" ht="15.75" customHeight="1">
      <c r="I270" s="77"/>
    </row>
    <row r="271" ht="15.75" customHeight="1">
      <c r="I271" s="77"/>
    </row>
    <row r="272" ht="15.75" customHeight="1">
      <c r="I272" s="77"/>
    </row>
    <row r="273" ht="15.75" customHeight="1">
      <c r="I273" s="77"/>
    </row>
    <row r="274" ht="15.75" customHeight="1">
      <c r="I274" s="77"/>
    </row>
    <row r="275" ht="15.75" customHeight="1">
      <c r="I275" s="77"/>
    </row>
    <row r="276" ht="15.75" customHeight="1">
      <c r="I276" s="77"/>
    </row>
    <row r="277" ht="15.75" customHeight="1">
      <c r="I277" s="77"/>
    </row>
    <row r="278" ht="15.75" customHeight="1">
      <c r="I278" s="77"/>
    </row>
    <row r="279" ht="15.75" customHeight="1">
      <c r="I279" s="77"/>
    </row>
    <row r="280" ht="15.75" customHeight="1">
      <c r="I280" s="77"/>
    </row>
    <row r="281" ht="15.75" customHeight="1">
      <c r="I281" s="77"/>
    </row>
    <row r="282" ht="15.75" customHeight="1">
      <c r="I282" s="77"/>
    </row>
    <row r="283" ht="15.75" customHeight="1">
      <c r="I283" s="77"/>
    </row>
    <row r="284" ht="15.75" customHeight="1">
      <c r="I284" s="77"/>
    </row>
    <row r="285" ht="15.75" customHeight="1">
      <c r="I285" s="77"/>
    </row>
    <row r="286" ht="15.75" customHeight="1">
      <c r="I286" s="77"/>
    </row>
    <row r="287" ht="15.75" customHeight="1">
      <c r="I287" s="77"/>
    </row>
    <row r="288" ht="15.75" customHeight="1">
      <c r="I288" s="77"/>
    </row>
    <row r="289" ht="15.75" customHeight="1">
      <c r="I289" s="77"/>
    </row>
    <row r="290" ht="15.75" customHeight="1">
      <c r="I290" s="77"/>
    </row>
    <row r="291" ht="15.75" customHeight="1">
      <c r="I291" s="77"/>
    </row>
    <row r="292" ht="15.75" customHeight="1">
      <c r="I292" s="77"/>
    </row>
    <row r="293" ht="15.75" customHeight="1">
      <c r="I293" s="77"/>
    </row>
    <row r="294" ht="15.75" customHeight="1">
      <c r="I294" s="77"/>
    </row>
    <row r="295" ht="15.75" customHeight="1">
      <c r="I295" s="77"/>
    </row>
    <row r="296" ht="15.75" customHeight="1">
      <c r="I296" s="77"/>
    </row>
    <row r="297" ht="15.75" customHeight="1">
      <c r="I297" s="77"/>
    </row>
    <row r="298" ht="15.75" customHeight="1">
      <c r="I298" s="77"/>
    </row>
    <row r="299" ht="15.75" customHeight="1">
      <c r="I299" s="77"/>
    </row>
    <row r="300" ht="15.75" customHeight="1">
      <c r="I300" s="77"/>
    </row>
    <row r="301" ht="15.75" customHeight="1">
      <c r="I301" s="77"/>
    </row>
    <row r="302" ht="15.75" customHeight="1">
      <c r="I302" s="77"/>
    </row>
    <row r="303" ht="15.75" customHeight="1">
      <c r="I303" s="77"/>
    </row>
    <row r="304" ht="15.75" customHeight="1">
      <c r="I304" s="77"/>
    </row>
    <row r="305" ht="15.75" customHeight="1">
      <c r="I305" s="77"/>
    </row>
    <row r="306" ht="15.75" customHeight="1">
      <c r="I306" s="77"/>
    </row>
    <row r="307" ht="15.75" customHeight="1">
      <c r="I307" s="77"/>
    </row>
    <row r="308" ht="15.75" customHeight="1">
      <c r="I308" s="77"/>
    </row>
    <row r="309" ht="15.75" customHeight="1">
      <c r="I309" s="77"/>
    </row>
    <row r="310" ht="15.75" customHeight="1">
      <c r="I310" s="77"/>
    </row>
    <row r="311" ht="15.75" customHeight="1">
      <c r="I311" s="77"/>
    </row>
    <row r="312" ht="15.75" customHeight="1">
      <c r="I312" s="77"/>
    </row>
    <row r="313" ht="15.75" customHeight="1">
      <c r="I313" s="77"/>
    </row>
    <row r="314" ht="15.75" customHeight="1">
      <c r="I314" s="77"/>
    </row>
    <row r="315" ht="15.75" customHeight="1">
      <c r="I315" s="77"/>
    </row>
    <row r="316" ht="15.75" customHeight="1">
      <c r="I316" s="77"/>
    </row>
    <row r="317" ht="15.75" customHeight="1">
      <c r="I317" s="77"/>
    </row>
    <row r="318" ht="15.75" customHeight="1">
      <c r="I318" s="77"/>
    </row>
    <row r="319" ht="15.75" customHeight="1">
      <c r="I319" s="77"/>
    </row>
    <row r="320" ht="15.75" customHeight="1">
      <c r="I320" s="77"/>
    </row>
    <row r="321" ht="15.75" customHeight="1">
      <c r="I321" s="77"/>
    </row>
    <row r="322" ht="15.75" customHeight="1">
      <c r="I322" s="77"/>
    </row>
    <row r="323" ht="15.75" customHeight="1">
      <c r="I323" s="77"/>
    </row>
    <row r="324" ht="15.75" customHeight="1">
      <c r="I324" s="77"/>
    </row>
    <row r="325" ht="15.75" customHeight="1">
      <c r="I325" s="77"/>
    </row>
    <row r="326" ht="15.75" customHeight="1">
      <c r="I326" s="77"/>
    </row>
    <row r="327" ht="15.75" customHeight="1">
      <c r="I327" s="77"/>
    </row>
    <row r="328" ht="15.75" customHeight="1">
      <c r="I328" s="77"/>
    </row>
    <row r="329" ht="15.75" customHeight="1">
      <c r="I329" s="77"/>
    </row>
    <row r="330" ht="15.75" customHeight="1">
      <c r="I330" s="77"/>
    </row>
    <row r="331" ht="15.75" customHeight="1">
      <c r="I331" s="77"/>
    </row>
    <row r="332" ht="15.75" customHeight="1">
      <c r="I332" s="77"/>
    </row>
    <row r="333" ht="15.75" customHeight="1">
      <c r="I333" s="77"/>
    </row>
    <row r="334" ht="15.75" customHeight="1">
      <c r="I334" s="77"/>
    </row>
    <row r="335" ht="15.75" customHeight="1">
      <c r="I335" s="77"/>
    </row>
    <row r="336" ht="15.75" customHeight="1">
      <c r="I336" s="77"/>
    </row>
    <row r="337" ht="15.75" customHeight="1">
      <c r="I337" s="77"/>
    </row>
    <row r="338" ht="15.75" customHeight="1">
      <c r="I338" s="77"/>
    </row>
    <row r="339" ht="15.75" customHeight="1">
      <c r="I339" s="77"/>
    </row>
    <row r="340" ht="15.75" customHeight="1">
      <c r="I340" s="77"/>
    </row>
    <row r="341" ht="15.75" customHeight="1">
      <c r="I341" s="77"/>
    </row>
    <row r="342" ht="15.75" customHeight="1">
      <c r="I342" s="77"/>
    </row>
    <row r="343" ht="15.75" customHeight="1">
      <c r="I343" s="77"/>
    </row>
    <row r="344" ht="15.75" customHeight="1">
      <c r="I344" s="77"/>
    </row>
    <row r="345" ht="15.75" customHeight="1">
      <c r="I345" s="77"/>
    </row>
    <row r="346" ht="15.75" customHeight="1">
      <c r="I346" s="77"/>
    </row>
    <row r="347" ht="15.75" customHeight="1">
      <c r="I347" s="77"/>
    </row>
    <row r="348" ht="15.75" customHeight="1">
      <c r="I348" s="77"/>
    </row>
    <row r="349" ht="15.75" customHeight="1">
      <c r="I349" s="77"/>
    </row>
    <row r="350" ht="15.75" customHeight="1">
      <c r="I350" s="77"/>
    </row>
    <row r="351" ht="15.75" customHeight="1">
      <c r="I351" s="77"/>
    </row>
    <row r="352" ht="15.75" customHeight="1">
      <c r="I352" s="77"/>
    </row>
    <row r="353" ht="15.75" customHeight="1">
      <c r="I353" s="77"/>
    </row>
    <row r="354" ht="15.75" customHeight="1">
      <c r="I354" s="77"/>
    </row>
    <row r="355" ht="15.75" customHeight="1">
      <c r="I355" s="77"/>
    </row>
    <row r="356" ht="15.75" customHeight="1">
      <c r="I356" s="77"/>
    </row>
    <row r="357" ht="15.75" customHeight="1">
      <c r="I357" s="77"/>
    </row>
    <row r="358" ht="15.75" customHeight="1">
      <c r="I358" s="77"/>
    </row>
    <row r="359" ht="15.75" customHeight="1">
      <c r="I359" s="77"/>
    </row>
    <row r="360" ht="15.75" customHeight="1">
      <c r="I360" s="77"/>
    </row>
    <row r="361" ht="15.75" customHeight="1">
      <c r="I361" s="77"/>
    </row>
    <row r="362" ht="15.75" customHeight="1">
      <c r="I362" s="77"/>
    </row>
    <row r="363" ht="15.75" customHeight="1">
      <c r="I363" s="77"/>
    </row>
    <row r="364" ht="15.75" customHeight="1">
      <c r="I364" s="77"/>
    </row>
    <row r="365" ht="15.75" customHeight="1">
      <c r="I365" s="77"/>
    </row>
    <row r="366" ht="15.75" customHeight="1">
      <c r="I366" s="77"/>
    </row>
    <row r="367" ht="15.75" customHeight="1">
      <c r="I367" s="77"/>
    </row>
    <row r="368" ht="15.75" customHeight="1">
      <c r="I368" s="77"/>
    </row>
    <row r="369" ht="15.75" customHeight="1">
      <c r="I369" s="77"/>
    </row>
    <row r="370" ht="15.75" customHeight="1">
      <c r="I370" s="77"/>
    </row>
    <row r="371" ht="15.75" customHeight="1">
      <c r="I371" s="77"/>
    </row>
    <row r="372" ht="15.75" customHeight="1">
      <c r="I372" s="77"/>
    </row>
    <row r="373" ht="15.75" customHeight="1">
      <c r="I373" s="77"/>
    </row>
    <row r="374" ht="15.75" customHeight="1">
      <c r="I374" s="77"/>
    </row>
    <row r="375" ht="15.75" customHeight="1">
      <c r="I375" s="77"/>
    </row>
    <row r="376" ht="15.75" customHeight="1">
      <c r="I376" s="77"/>
    </row>
    <row r="377" ht="15.75" customHeight="1">
      <c r="I377" s="77"/>
    </row>
    <row r="378" ht="15.75" customHeight="1">
      <c r="I378" s="77"/>
    </row>
    <row r="379" ht="15.75" customHeight="1">
      <c r="I379" s="77"/>
    </row>
    <row r="380" ht="15.75" customHeight="1">
      <c r="I380" s="77"/>
    </row>
    <row r="381" ht="15.75" customHeight="1">
      <c r="I381" s="77"/>
    </row>
    <row r="382" ht="15.75" customHeight="1">
      <c r="I382" s="77"/>
    </row>
    <row r="383" ht="15.75" customHeight="1">
      <c r="I383" s="77"/>
    </row>
    <row r="384" ht="15.75" customHeight="1">
      <c r="I384" s="77"/>
    </row>
    <row r="385" ht="15.75" customHeight="1">
      <c r="I385" s="77"/>
    </row>
    <row r="386" ht="15.75" customHeight="1">
      <c r="I386" s="77"/>
    </row>
    <row r="387" ht="15.75" customHeight="1">
      <c r="I387" s="77"/>
    </row>
    <row r="388" ht="15.75" customHeight="1">
      <c r="I388" s="77"/>
    </row>
    <row r="389" ht="15.75" customHeight="1">
      <c r="I389" s="77"/>
    </row>
    <row r="390" ht="15.75" customHeight="1">
      <c r="I390" s="77"/>
    </row>
    <row r="391" ht="15.75" customHeight="1">
      <c r="I391" s="77"/>
    </row>
    <row r="392" ht="15.75" customHeight="1">
      <c r="I392" s="77"/>
    </row>
    <row r="393" ht="15.75" customHeight="1">
      <c r="I393" s="77"/>
    </row>
    <row r="394" ht="15.75" customHeight="1">
      <c r="I394" s="77"/>
    </row>
    <row r="395" ht="15.75" customHeight="1">
      <c r="I395" s="77"/>
    </row>
    <row r="396" ht="15.75" customHeight="1">
      <c r="I396" s="77"/>
    </row>
    <row r="397" ht="15.75" customHeight="1">
      <c r="I397" s="77"/>
    </row>
    <row r="398" ht="15.75" customHeight="1">
      <c r="I398" s="77"/>
    </row>
    <row r="399" ht="15.75" customHeight="1">
      <c r="I399" s="77"/>
    </row>
    <row r="400" ht="15.75" customHeight="1">
      <c r="I400" s="77"/>
    </row>
    <row r="401" ht="15.75" customHeight="1">
      <c r="I401" s="77"/>
    </row>
    <row r="402" ht="15.75" customHeight="1">
      <c r="I402" s="77"/>
    </row>
    <row r="403" ht="15.75" customHeight="1">
      <c r="I403" s="77"/>
    </row>
    <row r="404" ht="15.75" customHeight="1">
      <c r="I404" s="77"/>
    </row>
    <row r="405" ht="15.75" customHeight="1">
      <c r="I405" s="77"/>
    </row>
    <row r="406" ht="15.75" customHeight="1">
      <c r="I406" s="77"/>
    </row>
    <row r="407" ht="15.75" customHeight="1">
      <c r="I407" s="77"/>
    </row>
    <row r="408" ht="15.75" customHeight="1">
      <c r="I408" s="77"/>
    </row>
    <row r="409" ht="15.75" customHeight="1">
      <c r="I409" s="77"/>
    </row>
    <row r="410" ht="15.75" customHeight="1">
      <c r="I410" s="77"/>
    </row>
    <row r="411" ht="15.75" customHeight="1">
      <c r="I411" s="77"/>
    </row>
    <row r="412" ht="15.75" customHeight="1">
      <c r="I412" s="77"/>
    </row>
    <row r="413" ht="15.75" customHeight="1">
      <c r="I413" s="77"/>
    </row>
    <row r="414" ht="15.75" customHeight="1">
      <c r="I414" s="77"/>
    </row>
    <row r="415" ht="15.75" customHeight="1">
      <c r="I415" s="77"/>
    </row>
    <row r="416" ht="15.75" customHeight="1">
      <c r="I416" s="77"/>
    </row>
    <row r="417" ht="15.75" customHeight="1">
      <c r="I417" s="77"/>
    </row>
    <row r="418" ht="15.75" customHeight="1">
      <c r="I418" s="77"/>
    </row>
    <row r="419" ht="15.75" customHeight="1">
      <c r="I419" s="77"/>
    </row>
    <row r="420" ht="15.75" customHeight="1">
      <c r="I420" s="77"/>
    </row>
    <row r="421" ht="15.75" customHeight="1">
      <c r="I421" s="77"/>
    </row>
    <row r="422" ht="15.75" customHeight="1">
      <c r="I422" s="77"/>
    </row>
    <row r="423" ht="15.75" customHeight="1">
      <c r="I423" s="77"/>
    </row>
    <row r="424" ht="15.75" customHeight="1">
      <c r="I424" s="77"/>
    </row>
    <row r="425" ht="15.75" customHeight="1">
      <c r="I425" s="77"/>
    </row>
    <row r="426" ht="15.75" customHeight="1">
      <c r="I426" s="77"/>
    </row>
    <row r="427" ht="15.75" customHeight="1">
      <c r="I427" s="77"/>
    </row>
    <row r="428" ht="15.75" customHeight="1">
      <c r="I428" s="77"/>
    </row>
    <row r="429" ht="15.75" customHeight="1">
      <c r="I429" s="77"/>
    </row>
    <row r="430" ht="15.75" customHeight="1">
      <c r="I430" s="77"/>
    </row>
    <row r="431" ht="15.75" customHeight="1">
      <c r="I431" s="77"/>
    </row>
    <row r="432" ht="15.75" customHeight="1">
      <c r="I432" s="77"/>
    </row>
    <row r="433" ht="15.75" customHeight="1">
      <c r="I433" s="77"/>
    </row>
    <row r="434" ht="15.75" customHeight="1">
      <c r="I434" s="77"/>
    </row>
    <row r="435" ht="15.75" customHeight="1">
      <c r="I435" s="77"/>
    </row>
    <row r="436" ht="15.75" customHeight="1">
      <c r="I436" s="77"/>
    </row>
    <row r="437" ht="15.75" customHeight="1">
      <c r="I437" s="77"/>
    </row>
    <row r="438" ht="15.75" customHeight="1">
      <c r="I438" s="77"/>
    </row>
    <row r="439" ht="15.75" customHeight="1">
      <c r="I439" s="77"/>
    </row>
    <row r="440" ht="15.75" customHeight="1">
      <c r="I440" s="77"/>
    </row>
    <row r="441" ht="15.75" customHeight="1">
      <c r="I441" s="77"/>
    </row>
    <row r="442" ht="15.75" customHeight="1">
      <c r="I442" s="77"/>
    </row>
    <row r="443" ht="15.75" customHeight="1">
      <c r="I443" s="77"/>
    </row>
    <row r="444" ht="15.75" customHeight="1">
      <c r="I444" s="77"/>
    </row>
    <row r="445" ht="15.75" customHeight="1">
      <c r="I445" s="77"/>
    </row>
    <row r="446" ht="15.75" customHeight="1">
      <c r="I446" s="77"/>
    </row>
    <row r="447" ht="15.75" customHeight="1">
      <c r="I447" s="77"/>
    </row>
    <row r="448" ht="15.75" customHeight="1">
      <c r="I448" s="77"/>
    </row>
    <row r="449" ht="15.75" customHeight="1">
      <c r="I449" s="77"/>
    </row>
    <row r="450" ht="15.75" customHeight="1">
      <c r="I450" s="77"/>
    </row>
    <row r="451" ht="15.75" customHeight="1">
      <c r="I451" s="77"/>
    </row>
    <row r="452" ht="15.75" customHeight="1">
      <c r="I452" s="77"/>
    </row>
    <row r="453" ht="15.75" customHeight="1">
      <c r="I453" s="77"/>
    </row>
    <row r="454" ht="15.75" customHeight="1">
      <c r="I454" s="77"/>
    </row>
    <row r="455" ht="15.75" customHeight="1">
      <c r="I455" s="77"/>
    </row>
    <row r="456" ht="15.75" customHeight="1">
      <c r="I456" s="77"/>
    </row>
    <row r="457" ht="15.75" customHeight="1">
      <c r="I457" s="77"/>
    </row>
    <row r="458" ht="15.75" customHeight="1">
      <c r="I458" s="77"/>
    </row>
    <row r="459" ht="15.75" customHeight="1">
      <c r="I459" s="77"/>
    </row>
    <row r="460" ht="15.75" customHeight="1">
      <c r="I460" s="77"/>
    </row>
    <row r="461" ht="15.75" customHeight="1">
      <c r="I461" s="77"/>
    </row>
    <row r="462" ht="15.75" customHeight="1">
      <c r="I462" s="77"/>
    </row>
    <row r="463" ht="15.75" customHeight="1">
      <c r="I463" s="77"/>
    </row>
    <row r="464" ht="15.75" customHeight="1">
      <c r="I464" s="77"/>
    </row>
    <row r="465" ht="15.75" customHeight="1">
      <c r="I465" s="77"/>
    </row>
    <row r="466" ht="15.75" customHeight="1">
      <c r="I466" s="77"/>
    </row>
    <row r="467" ht="15.75" customHeight="1">
      <c r="I467" s="77"/>
    </row>
    <row r="468" ht="15.75" customHeight="1">
      <c r="I468" s="77"/>
    </row>
    <row r="469" ht="15.75" customHeight="1">
      <c r="I469" s="77"/>
    </row>
    <row r="470" ht="15.75" customHeight="1">
      <c r="I470" s="77"/>
    </row>
    <row r="471" ht="15.75" customHeight="1">
      <c r="I471" s="77"/>
    </row>
    <row r="472" ht="15.75" customHeight="1">
      <c r="I472" s="77"/>
    </row>
    <row r="473" ht="15.75" customHeight="1">
      <c r="I473" s="77"/>
    </row>
    <row r="474" ht="15.75" customHeight="1">
      <c r="I474" s="77"/>
    </row>
    <row r="475" ht="15.75" customHeight="1">
      <c r="I475" s="77"/>
    </row>
    <row r="476" ht="15.75" customHeight="1">
      <c r="I476" s="77"/>
    </row>
    <row r="477" ht="15.75" customHeight="1">
      <c r="I477" s="77"/>
    </row>
    <row r="478" ht="15.75" customHeight="1">
      <c r="I478" s="77"/>
    </row>
    <row r="479" ht="15.75" customHeight="1">
      <c r="I479" s="77"/>
    </row>
    <row r="480" ht="15.75" customHeight="1">
      <c r="I480" s="77"/>
    </row>
    <row r="481" ht="15.75" customHeight="1">
      <c r="I481" s="77"/>
    </row>
    <row r="482" ht="15.75" customHeight="1">
      <c r="I482" s="77"/>
    </row>
    <row r="483" ht="15.75" customHeight="1">
      <c r="I483" s="77"/>
    </row>
    <row r="484" ht="15.75" customHeight="1">
      <c r="I484" s="77"/>
    </row>
    <row r="485" ht="15.75" customHeight="1">
      <c r="I485" s="77"/>
    </row>
    <row r="486" ht="15.75" customHeight="1">
      <c r="I486" s="77"/>
    </row>
    <row r="487" ht="15.75" customHeight="1">
      <c r="I487" s="77"/>
    </row>
    <row r="488" ht="15.75" customHeight="1">
      <c r="I488" s="77"/>
    </row>
    <row r="489" ht="15.75" customHeight="1">
      <c r="I489" s="77"/>
    </row>
    <row r="490" ht="15.75" customHeight="1">
      <c r="I490" s="77"/>
    </row>
    <row r="491" ht="15.75" customHeight="1">
      <c r="I491" s="77"/>
    </row>
    <row r="492" ht="15.75" customHeight="1">
      <c r="I492" s="77"/>
    </row>
    <row r="493" ht="15.75" customHeight="1">
      <c r="I493" s="77"/>
    </row>
    <row r="494" ht="15.75" customHeight="1">
      <c r="I494" s="77"/>
    </row>
    <row r="495" ht="15.75" customHeight="1">
      <c r="I495" s="77"/>
    </row>
    <row r="496" ht="15.75" customHeight="1">
      <c r="I496" s="77"/>
    </row>
    <row r="497" ht="15.75" customHeight="1">
      <c r="I497" s="77"/>
    </row>
    <row r="498" ht="15.75" customHeight="1">
      <c r="I498" s="77"/>
    </row>
    <row r="499" ht="15.75" customHeight="1">
      <c r="I499" s="77"/>
    </row>
    <row r="500" ht="15.75" customHeight="1">
      <c r="I500" s="77"/>
    </row>
    <row r="501" ht="15.75" customHeight="1">
      <c r="I501" s="77"/>
    </row>
    <row r="502" ht="15.75" customHeight="1">
      <c r="I502" s="77"/>
    </row>
    <row r="503" ht="15.75" customHeight="1">
      <c r="I503" s="77"/>
    </row>
    <row r="504" ht="15.75" customHeight="1">
      <c r="I504" s="77"/>
    </row>
    <row r="505" ht="15.75" customHeight="1">
      <c r="I505" s="77"/>
    </row>
    <row r="506" ht="15.75" customHeight="1">
      <c r="I506" s="77"/>
    </row>
    <row r="507" ht="15.75" customHeight="1">
      <c r="I507" s="77"/>
    </row>
    <row r="508" ht="15.75" customHeight="1">
      <c r="I508" s="77"/>
    </row>
    <row r="509" ht="15.75" customHeight="1">
      <c r="I509" s="77"/>
    </row>
    <row r="510" ht="15.75" customHeight="1">
      <c r="I510" s="77"/>
    </row>
    <row r="511" ht="15.75" customHeight="1">
      <c r="I511" s="77"/>
    </row>
    <row r="512" ht="15.75" customHeight="1">
      <c r="I512" s="77"/>
    </row>
    <row r="513" ht="15.75" customHeight="1">
      <c r="I513" s="77"/>
    </row>
    <row r="514" ht="15.75" customHeight="1">
      <c r="I514" s="77"/>
    </row>
    <row r="515" ht="15.75" customHeight="1">
      <c r="I515" s="77"/>
    </row>
    <row r="516" ht="15.75" customHeight="1">
      <c r="I516" s="77"/>
    </row>
    <row r="517" ht="15.75" customHeight="1">
      <c r="I517" s="77"/>
    </row>
    <row r="518" ht="15.75" customHeight="1">
      <c r="I518" s="77"/>
    </row>
    <row r="519" ht="15.75" customHeight="1">
      <c r="I519" s="77"/>
    </row>
    <row r="520" ht="15.75" customHeight="1">
      <c r="I520" s="77"/>
    </row>
    <row r="521" ht="15.75" customHeight="1">
      <c r="I521" s="77"/>
    </row>
    <row r="522" ht="15.75" customHeight="1">
      <c r="I522" s="77"/>
    </row>
    <row r="523" ht="15.75" customHeight="1">
      <c r="I523" s="77"/>
    </row>
    <row r="524" ht="15.75" customHeight="1">
      <c r="I524" s="77"/>
    </row>
    <row r="525" ht="15.75" customHeight="1">
      <c r="I525" s="77"/>
    </row>
    <row r="526" ht="15.75" customHeight="1">
      <c r="I526" s="77"/>
    </row>
    <row r="527" ht="15.75" customHeight="1">
      <c r="I527" s="77"/>
    </row>
    <row r="528" ht="15.75" customHeight="1">
      <c r="I528" s="77"/>
    </row>
    <row r="529" ht="15.75" customHeight="1">
      <c r="I529" s="77"/>
    </row>
    <row r="530" ht="15.75" customHeight="1">
      <c r="I530" s="77"/>
    </row>
    <row r="531" ht="15.75" customHeight="1">
      <c r="I531" s="77"/>
    </row>
    <row r="532" ht="15.75" customHeight="1">
      <c r="I532" s="77"/>
    </row>
    <row r="533" ht="15.75" customHeight="1">
      <c r="I533" s="77"/>
    </row>
    <row r="534" ht="15.75" customHeight="1">
      <c r="I534" s="77"/>
    </row>
    <row r="535" ht="15.75" customHeight="1">
      <c r="I535" s="77"/>
    </row>
    <row r="536" ht="15.75" customHeight="1">
      <c r="I536" s="77"/>
    </row>
    <row r="537" ht="15.75" customHeight="1">
      <c r="I537" s="77"/>
    </row>
    <row r="538" ht="15.75" customHeight="1">
      <c r="I538" s="77"/>
    </row>
    <row r="539" ht="15.75" customHeight="1">
      <c r="I539" s="77"/>
    </row>
    <row r="540" ht="15.75" customHeight="1">
      <c r="I540" s="77"/>
    </row>
    <row r="541" ht="15.75" customHeight="1">
      <c r="I541" s="77"/>
    </row>
    <row r="542" ht="15.75" customHeight="1">
      <c r="I542" s="77"/>
    </row>
    <row r="543" ht="15.75" customHeight="1">
      <c r="I543" s="77"/>
    </row>
    <row r="544" ht="15.75" customHeight="1">
      <c r="I544" s="77"/>
    </row>
    <row r="545" ht="15.75" customHeight="1">
      <c r="I545" s="77"/>
    </row>
    <row r="546" ht="15.75" customHeight="1">
      <c r="I546" s="77"/>
    </row>
    <row r="547" ht="15.75" customHeight="1">
      <c r="I547" s="77"/>
    </row>
    <row r="548" ht="15.75" customHeight="1">
      <c r="I548" s="77"/>
    </row>
    <row r="549" ht="15.75" customHeight="1">
      <c r="I549" s="77"/>
    </row>
    <row r="550" ht="15.75" customHeight="1">
      <c r="I550" s="77"/>
    </row>
    <row r="551" ht="15.75" customHeight="1">
      <c r="I551" s="77"/>
    </row>
    <row r="552" ht="15.75" customHeight="1">
      <c r="I552" s="77"/>
    </row>
    <row r="553" ht="15.75" customHeight="1">
      <c r="I553" s="77"/>
    </row>
    <row r="554" ht="15.75" customHeight="1">
      <c r="I554" s="77"/>
    </row>
    <row r="555" ht="15.75" customHeight="1">
      <c r="I555" s="77"/>
    </row>
    <row r="556" ht="15.75" customHeight="1">
      <c r="I556" s="77"/>
    </row>
    <row r="557" ht="15.75" customHeight="1">
      <c r="I557" s="77"/>
    </row>
    <row r="558" ht="15.75" customHeight="1">
      <c r="I558" s="77"/>
    </row>
    <row r="559" ht="15.75" customHeight="1">
      <c r="I559" s="77"/>
    </row>
    <row r="560" ht="15.75" customHeight="1">
      <c r="I560" s="77"/>
    </row>
    <row r="561" ht="15.75" customHeight="1">
      <c r="I561" s="77"/>
    </row>
    <row r="562" ht="15.75" customHeight="1">
      <c r="I562" s="77"/>
    </row>
    <row r="563" ht="15.75" customHeight="1">
      <c r="I563" s="77"/>
    </row>
    <row r="564" ht="15.75" customHeight="1">
      <c r="I564" s="77"/>
    </row>
    <row r="565" ht="15.75" customHeight="1">
      <c r="I565" s="77"/>
    </row>
    <row r="566" ht="15.75" customHeight="1">
      <c r="I566" s="77"/>
    </row>
    <row r="567" ht="15.75" customHeight="1">
      <c r="I567" s="77"/>
    </row>
    <row r="568" ht="15.75" customHeight="1">
      <c r="I568" s="77"/>
    </row>
    <row r="569" ht="15.75" customHeight="1">
      <c r="I569" s="77"/>
    </row>
    <row r="570" ht="15.75" customHeight="1">
      <c r="I570" s="77"/>
    </row>
    <row r="571" ht="15.75" customHeight="1">
      <c r="I571" s="77"/>
    </row>
    <row r="572" ht="15.75" customHeight="1">
      <c r="I572" s="77"/>
    </row>
    <row r="573" ht="15.75" customHeight="1">
      <c r="I573" s="77"/>
    </row>
    <row r="574" ht="15.75" customHeight="1">
      <c r="I574" s="77"/>
    </row>
    <row r="575" ht="15.75" customHeight="1">
      <c r="I575" s="77"/>
    </row>
    <row r="576" ht="15.75" customHeight="1">
      <c r="I576" s="77"/>
    </row>
    <row r="577" ht="15.75" customHeight="1">
      <c r="I577" s="77"/>
    </row>
    <row r="578" ht="15.75" customHeight="1">
      <c r="I578" s="77"/>
    </row>
    <row r="579" ht="15.75" customHeight="1">
      <c r="I579" s="77"/>
    </row>
    <row r="580" ht="15.75" customHeight="1">
      <c r="I580" s="77"/>
    </row>
    <row r="581" ht="15.75" customHeight="1">
      <c r="I581" s="77"/>
    </row>
    <row r="582" ht="15.75" customHeight="1">
      <c r="I582" s="77"/>
    </row>
    <row r="583" ht="15.75" customHeight="1">
      <c r="I583" s="77"/>
    </row>
    <row r="584" ht="15.75" customHeight="1">
      <c r="I584" s="77"/>
    </row>
    <row r="585" ht="15.75" customHeight="1">
      <c r="I585" s="77"/>
    </row>
    <row r="586" ht="15.75" customHeight="1">
      <c r="I586" s="77"/>
    </row>
    <row r="587" ht="15.75" customHeight="1">
      <c r="I587" s="77"/>
    </row>
    <row r="588" ht="15.75" customHeight="1">
      <c r="I588" s="77"/>
    </row>
    <row r="589" ht="15.75" customHeight="1">
      <c r="I589" s="77"/>
    </row>
    <row r="590" ht="15.75" customHeight="1">
      <c r="I590" s="77"/>
    </row>
    <row r="591" ht="15.75" customHeight="1">
      <c r="I591" s="77"/>
    </row>
    <row r="592" ht="15.75" customHeight="1">
      <c r="I592" s="77"/>
    </row>
    <row r="593" ht="15.75" customHeight="1">
      <c r="I593" s="77"/>
    </row>
    <row r="594" ht="15.75" customHeight="1">
      <c r="I594" s="77"/>
    </row>
    <row r="595" ht="15.75" customHeight="1">
      <c r="I595" s="77"/>
    </row>
    <row r="596" ht="15.75" customHeight="1">
      <c r="I596" s="77"/>
    </row>
    <row r="597" ht="15.75" customHeight="1">
      <c r="I597" s="77"/>
    </row>
    <row r="598" ht="15.75" customHeight="1">
      <c r="I598" s="77"/>
    </row>
    <row r="599" ht="15.75" customHeight="1">
      <c r="I599" s="77"/>
    </row>
    <row r="600" ht="15.75" customHeight="1">
      <c r="I600" s="77"/>
    </row>
    <row r="601" ht="15.75" customHeight="1">
      <c r="I601" s="77"/>
    </row>
    <row r="602" ht="15.75" customHeight="1">
      <c r="I602" s="77"/>
    </row>
    <row r="603" ht="15.75" customHeight="1">
      <c r="I603" s="77"/>
    </row>
    <row r="604" ht="15.75" customHeight="1">
      <c r="I604" s="77"/>
    </row>
    <row r="605" ht="15.75" customHeight="1">
      <c r="I605" s="77"/>
    </row>
    <row r="606" ht="15.75" customHeight="1">
      <c r="I606" s="77"/>
    </row>
    <row r="607" ht="15.75" customHeight="1">
      <c r="I607" s="77"/>
    </row>
    <row r="608" ht="15.75" customHeight="1">
      <c r="I608" s="77"/>
    </row>
    <row r="609" ht="15.75" customHeight="1">
      <c r="I609" s="77"/>
    </row>
    <row r="610" ht="15.75" customHeight="1">
      <c r="I610" s="77"/>
    </row>
    <row r="611" ht="15.75" customHeight="1">
      <c r="I611" s="77"/>
    </row>
    <row r="612" ht="15.75" customHeight="1">
      <c r="I612" s="77"/>
    </row>
    <row r="613" ht="15.75" customHeight="1">
      <c r="I613" s="77"/>
    </row>
    <row r="614" ht="15.75" customHeight="1">
      <c r="I614" s="77"/>
    </row>
    <row r="615" ht="15.75" customHeight="1">
      <c r="I615" s="77"/>
    </row>
    <row r="616" ht="15.75" customHeight="1">
      <c r="I616" s="77"/>
    </row>
    <row r="617" ht="15.75" customHeight="1">
      <c r="I617" s="77"/>
    </row>
    <row r="618" ht="15.75" customHeight="1">
      <c r="I618" s="77"/>
    </row>
    <row r="619" ht="15.75" customHeight="1">
      <c r="I619" s="77"/>
    </row>
    <row r="620" ht="15.75" customHeight="1">
      <c r="I620" s="77"/>
    </row>
    <row r="621" ht="15.75" customHeight="1">
      <c r="I621" s="77"/>
    </row>
    <row r="622" ht="15.75" customHeight="1">
      <c r="I622" s="77"/>
    </row>
    <row r="623" ht="15.75" customHeight="1">
      <c r="I623" s="77"/>
    </row>
    <row r="624" ht="15.75" customHeight="1">
      <c r="I624" s="77"/>
    </row>
    <row r="625" ht="15.75" customHeight="1">
      <c r="I625" s="77"/>
    </row>
    <row r="626" ht="15.75" customHeight="1">
      <c r="I626" s="77"/>
    </row>
    <row r="627" ht="15.75" customHeight="1">
      <c r="I627" s="77"/>
    </row>
    <row r="628" ht="15.75" customHeight="1">
      <c r="I628" s="77"/>
    </row>
    <row r="629" ht="15.75" customHeight="1">
      <c r="I629" s="77"/>
    </row>
    <row r="630" ht="15.75" customHeight="1">
      <c r="I630" s="77"/>
    </row>
    <row r="631" ht="15.75" customHeight="1">
      <c r="I631" s="77"/>
    </row>
    <row r="632" ht="15.75" customHeight="1">
      <c r="I632" s="77"/>
    </row>
    <row r="633" ht="15.75" customHeight="1">
      <c r="I633" s="77"/>
    </row>
    <row r="634" ht="15.75" customHeight="1">
      <c r="I634" s="77"/>
    </row>
    <row r="635" ht="15.75" customHeight="1">
      <c r="I635" s="77"/>
    </row>
    <row r="636" ht="15.75" customHeight="1">
      <c r="I636" s="77"/>
    </row>
    <row r="637" ht="15.75" customHeight="1">
      <c r="I637" s="77"/>
    </row>
    <row r="638" ht="15.75" customHeight="1">
      <c r="I638" s="77"/>
    </row>
    <row r="639" ht="15.75" customHeight="1">
      <c r="I639" s="77"/>
    </row>
    <row r="640" ht="15.75" customHeight="1">
      <c r="I640" s="77"/>
    </row>
    <row r="641" ht="15.75" customHeight="1">
      <c r="I641" s="77"/>
    </row>
    <row r="642" ht="15.75" customHeight="1">
      <c r="I642" s="77"/>
    </row>
    <row r="643" ht="15.75" customHeight="1">
      <c r="I643" s="77"/>
    </row>
    <row r="644" ht="15.75" customHeight="1">
      <c r="I644" s="77"/>
    </row>
    <row r="645" ht="15.75" customHeight="1">
      <c r="I645" s="77"/>
    </row>
    <row r="646" ht="15.75" customHeight="1">
      <c r="I646" s="77"/>
    </row>
    <row r="647" ht="15.75" customHeight="1">
      <c r="I647" s="77"/>
    </row>
    <row r="648" ht="15.75" customHeight="1">
      <c r="I648" s="77"/>
    </row>
    <row r="649" ht="15.75" customHeight="1">
      <c r="I649" s="77"/>
    </row>
    <row r="650" ht="15.75" customHeight="1">
      <c r="I650" s="77"/>
    </row>
    <row r="651" ht="15.75" customHeight="1">
      <c r="I651" s="77"/>
    </row>
    <row r="652" ht="15.75" customHeight="1">
      <c r="I652" s="77"/>
    </row>
    <row r="653" ht="15.75" customHeight="1">
      <c r="I653" s="77"/>
    </row>
    <row r="654" ht="15.75" customHeight="1">
      <c r="I654" s="77"/>
    </row>
    <row r="655" ht="15.75" customHeight="1">
      <c r="I655" s="77"/>
    </row>
    <row r="656" ht="15.75" customHeight="1">
      <c r="I656" s="77"/>
    </row>
    <row r="657" ht="15.75" customHeight="1">
      <c r="I657" s="77"/>
    </row>
    <row r="658" ht="15.75" customHeight="1">
      <c r="I658" s="77"/>
    </row>
    <row r="659" ht="15.75" customHeight="1">
      <c r="I659" s="77"/>
    </row>
    <row r="660" ht="15.75" customHeight="1">
      <c r="I660" s="77"/>
    </row>
    <row r="661" ht="15.75" customHeight="1">
      <c r="I661" s="77"/>
    </row>
    <row r="662" ht="15.75" customHeight="1">
      <c r="I662" s="77"/>
    </row>
    <row r="663" ht="15.75" customHeight="1">
      <c r="I663" s="77"/>
    </row>
    <row r="664" ht="15.75" customHeight="1">
      <c r="I664" s="77"/>
    </row>
    <row r="665" ht="15.75" customHeight="1">
      <c r="I665" s="77"/>
    </row>
    <row r="666" ht="15.75" customHeight="1">
      <c r="I666" s="77"/>
    </row>
    <row r="667" ht="15.75" customHeight="1">
      <c r="I667" s="77"/>
    </row>
    <row r="668" ht="15.75" customHeight="1">
      <c r="I668" s="77"/>
    </row>
    <row r="669" ht="15.75" customHeight="1">
      <c r="I669" s="77"/>
    </row>
    <row r="670" ht="15.75" customHeight="1">
      <c r="I670" s="77"/>
    </row>
    <row r="671" ht="15.75" customHeight="1">
      <c r="I671" s="77"/>
    </row>
    <row r="672" ht="15.75" customHeight="1">
      <c r="I672" s="77"/>
    </row>
    <row r="673" ht="15.75" customHeight="1">
      <c r="I673" s="77"/>
    </row>
    <row r="674" ht="15.75" customHeight="1">
      <c r="I674" s="77"/>
    </row>
    <row r="675" ht="15.75" customHeight="1">
      <c r="I675" s="77"/>
    </row>
    <row r="676" ht="15.75" customHeight="1">
      <c r="I676" s="77"/>
    </row>
    <row r="677" ht="15.75" customHeight="1">
      <c r="I677" s="77"/>
    </row>
    <row r="678" ht="15.75" customHeight="1">
      <c r="I678" s="77"/>
    </row>
    <row r="679" ht="15.75" customHeight="1">
      <c r="I679" s="77"/>
    </row>
    <row r="680" ht="15.75" customHeight="1">
      <c r="I680" s="77"/>
    </row>
    <row r="681" ht="15.75" customHeight="1">
      <c r="I681" s="77"/>
    </row>
    <row r="682" ht="15.75" customHeight="1">
      <c r="I682" s="77"/>
    </row>
    <row r="683" ht="15.75" customHeight="1">
      <c r="I683" s="77"/>
    </row>
    <row r="684" ht="15.75" customHeight="1">
      <c r="I684" s="77"/>
    </row>
    <row r="685" ht="15.75" customHeight="1">
      <c r="I685" s="77"/>
    </row>
    <row r="686" ht="15.75" customHeight="1">
      <c r="I686" s="77"/>
    </row>
    <row r="687" ht="15.75" customHeight="1">
      <c r="I687" s="77"/>
    </row>
    <row r="688" ht="15.75" customHeight="1">
      <c r="I688" s="77"/>
    </row>
    <row r="689" ht="15.75" customHeight="1">
      <c r="I689" s="77"/>
    </row>
    <row r="690" ht="15.75" customHeight="1">
      <c r="I690" s="77"/>
    </row>
    <row r="691" ht="15.75" customHeight="1">
      <c r="I691" s="77"/>
    </row>
    <row r="692" ht="15.75" customHeight="1">
      <c r="I692" s="77"/>
    </row>
    <row r="693" ht="15.75" customHeight="1">
      <c r="I693" s="77"/>
    </row>
    <row r="694" ht="15.75" customHeight="1">
      <c r="I694" s="77"/>
    </row>
    <row r="695" ht="15.75" customHeight="1">
      <c r="I695" s="77"/>
    </row>
    <row r="696" ht="15.75" customHeight="1">
      <c r="I696" s="77"/>
    </row>
    <row r="697" ht="15.75" customHeight="1">
      <c r="I697" s="77"/>
    </row>
    <row r="698" ht="15.75" customHeight="1">
      <c r="I698" s="77"/>
    </row>
    <row r="699" ht="15.75" customHeight="1">
      <c r="I699" s="77"/>
    </row>
    <row r="700" ht="15.75" customHeight="1">
      <c r="I700" s="77"/>
    </row>
    <row r="701" ht="15.75" customHeight="1">
      <c r="I701" s="77"/>
    </row>
    <row r="702" ht="15.75" customHeight="1">
      <c r="I702" s="77"/>
    </row>
    <row r="703" ht="15.75" customHeight="1">
      <c r="I703" s="77"/>
    </row>
    <row r="704" ht="15.75" customHeight="1">
      <c r="I704" s="77"/>
    </row>
    <row r="705" ht="15.75" customHeight="1">
      <c r="I705" s="77"/>
    </row>
    <row r="706" ht="15.75" customHeight="1">
      <c r="I706" s="77"/>
    </row>
    <row r="707" ht="15.75" customHeight="1">
      <c r="I707" s="77"/>
    </row>
    <row r="708" ht="15.75" customHeight="1">
      <c r="I708" s="77"/>
    </row>
    <row r="709" ht="15.75" customHeight="1">
      <c r="I709" s="77"/>
    </row>
    <row r="710" ht="15.75" customHeight="1">
      <c r="I710" s="77"/>
    </row>
    <row r="711" ht="15.75" customHeight="1">
      <c r="I711" s="77"/>
    </row>
    <row r="712" ht="15.75" customHeight="1">
      <c r="I712" s="77"/>
    </row>
    <row r="713" ht="15.75" customHeight="1">
      <c r="I713" s="77"/>
    </row>
    <row r="714" ht="15.75" customHeight="1">
      <c r="I714" s="77"/>
    </row>
    <row r="715" ht="15.75" customHeight="1">
      <c r="I715" s="77"/>
    </row>
    <row r="716" ht="15.75" customHeight="1">
      <c r="I716" s="77"/>
    </row>
    <row r="717" ht="15.75" customHeight="1">
      <c r="I717" s="77"/>
    </row>
    <row r="718" ht="15.75" customHeight="1">
      <c r="I718" s="77"/>
    </row>
    <row r="719" ht="15.75" customHeight="1">
      <c r="I719" s="77"/>
    </row>
    <row r="720" ht="15.75" customHeight="1">
      <c r="I720" s="77"/>
    </row>
    <row r="721" ht="15.75" customHeight="1">
      <c r="I721" s="77"/>
    </row>
    <row r="722" ht="15.75" customHeight="1">
      <c r="I722" s="77"/>
    </row>
    <row r="723" ht="15.75" customHeight="1">
      <c r="I723" s="77"/>
    </row>
    <row r="724" ht="15.75" customHeight="1">
      <c r="I724" s="77"/>
    </row>
    <row r="725" ht="15.75" customHeight="1">
      <c r="I725" s="77"/>
    </row>
    <row r="726" ht="15.75" customHeight="1">
      <c r="I726" s="77"/>
    </row>
    <row r="727" ht="15.75" customHeight="1">
      <c r="I727" s="77"/>
    </row>
    <row r="728" ht="15.75" customHeight="1">
      <c r="I728" s="77"/>
    </row>
    <row r="729" ht="15.75" customHeight="1">
      <c r="I729" s="77"/>
    </row>
    <row r="730" ht="15.75" customHeight="1">
      <c r="I730" s="77"/>
    </row>
    <row r="731" ht="15.75" customHeight="1">
      <c r="I731" s="77"/>
    </row>
    <row r="732" ht="15.75" customHeight="1">
      <c r="I732" s="77"/>
    </row>
    <row r="733" ht="15.75" customHeight="1">
      <c r="I733" s="77"/>
    </row>
    <row r="734" ht="15.75" customHeight="1">
      <c r="I734" s="77"/>
    </row>
    <row r="735" ht="15.75" customHeight="1">
      <c r="I735" s="77"/>
    </row>
    <row r="736" ht="15.75" customHeight="1">
      <c r="I736" s="77"/>
    </row>
    <row r="737" ht="15.75" customHeight="1">
      <c r="I737" s="77"/>
    </row>
    <row r="738" ht="15.75" customHeight="1">
      <c r="I738" s="77"/>
    </row>
    <row r="739" ht="15.75" customHeight="1">
      <c r="I739" s="77"/>
    </row>
    <row r="740" ht="15.75" customHeight="1">
      <c r="I740" s="77"/>
    </row>
    <row r="741" ht="15.75" customHeight="1">
      <c r="I741" s="77"/>
    </row>
    <row r="742" ht="15.75" customHeight="1">
      <c r="I742" s="77"/>
    </row>
    <row r="743" ht="15.75" customHeight="1">
      <c r="I743" s="77"/>
    </row>
    <row r="744" ht="15.75" customHeight="1">
      <c r="I744" s="77"/>
    </row>
    <row r="745" ht="15.75" customHeight="1">
      <c r="I745" s="77"/>
    </row>
    <row r="746" ht="15.75" customHeight="1">
      <c r="I746" s="77"/>
    </row>
    <row r="747" ht="15.75" customHeight="1">
      <c r="I747" s="77"/>
    </row>
    <row r="748" ht="15.75" customHeight="1">
      <c r="I748" s="77"/>
    </row>
    <row r="749" ht="15.75" customHeight="1">
      <c r="I749" s="77"/>
    </row>
    <row r="750" ht="15.75" customHeight="1">
      <c r="I750" s="77"/>
    </row>
    <row r="751" ht="15.75" customHeight="1">
      <c r="I751" s="77"/>
    </row>
    <row r="752" ht="15.75" customHeight="1">
      <c r="I752" s="77"/>
    </row>
    <row r="753" ht="15.75" customHeight="1">
      <c r="I753" s="77"/>
    </row>
    <row r="754" ht="15.75" customHeight="1">
      <c r="I754" s="77"/>
    </row>
    <row r="755" ht="15.75" customHeight="1">
      <c r="I755" s="77"/>
    </row>
    <row r="756" ht="15.75" customHeight="1">
      <c r="I756" s="77"/>
    </row>
    <row r="757" ht="15.75" customHeight="1">
      <c r="I757" s="77"/>
    </row>
    <row r="758" ht="15.75" customHeight="1">
      <c r="I758" s="77"/>
    </row>
    <row r="759" ht="15.75" customHeight="1">
      <c r="I759" s="77"/>
    </row>
    <row r="760" ht="15.75" customHeight="1">
      <c r="I760" s="77"/>
    </row>
    <row r="761" ht="15.75" customHeight="1">
      <c r="I761" s="77"/>
    </row>
    <row r="762" ht="15.75" customHeight="1">
      <c r="I762" s="77"/>
    </row>
    <row r="763" ht="15.75" customHeight="1">
      <c r="I763" s="77"/>
    </row>
    <row r="764" ht="15.75" customHeight="1">
      <c r="I764" s="77"/>
    </row>
    <row r="765" ht="15.75" customHeight="1">
      <c r="I765" s="77"/>
    </row>
    <row r="766" ht="15.75" customHeight="1">
      <c r="I766" s="77"/>
    </row>
    <row r="767" ht="15.75" customHeight="1">
      <c r="I767" s="77"/>
    </row>
    <row r="768" ht="15.75" customHeight="1">
      <c r="I768" s="77"/>
    </row>
    <row r="769" ht="15.75" customHeight="1">
      <c r="I769" s="77"/>
    </row>
    <row r="770" ht="15.75" customHeight="1">
      <c r="I770" s="77"/>
    </row>
    <row r="771" ht="15.75" customHeight="1">
      <c r="I771" s="77"/>
    </row>
    <row r="772" ht="15.75" customHeight="1">
      <c r="I772" s="77"/>
    </row>
    <row r="773" ht="15.75" customHeight="1">
      <c r="I773" s="77"/>
    </row>
    <row r="774" ht="15.75" customHeight="1">
      <c r="I774" s="77"/>
    </row>
    <row r="775" ht="15.75" customHeight="1">
      <c r="I775" s="77"/>
    </row>
    <row r="776" ht="15.75" customHeight="1">
      <c r="I776" s="77"/>
    </row>
    <row r="777" ht="15.75" customHeight="1">
      <c r="I777" s="77"/>
    </row>
    <row r="778" ht="15.75" customHeight="1">
      <c r="I778" s="77"/>
    </row>
    <row r="779" ht="15.75" customHeight="1">
      <c r="I779" s="77"/>
    </row>
    <row r="780" ht="15.75" customHeight="1">
      <c r="I780" s="77"/>
    </row>
    <row r="781" ht="15.75" customHeight="1">
      <c r="I781" s="77"/>
    </row>
    <row r="782" ht="15.75" customHeight="1">
      <c r="I782" s="77"/>
    </row>
    <row r="783" ht="15.75" customHeight="1">
      <c r="I783" s="77"/>
    </row>
    <row r="784" ht="15.75" customHeight="1">
      <c r="I784" s="77"/>
    </row>
    <row r="785" ht="15.75" customHeight="1">
      <c r="I785" s="77"/>
    </row>
    <row r="786" ht="15.75" customHeight="1">
      <c r="I786" s="77"/>
    </row>
    <row r="787" ht="15.75" customHeight="1">
      <c r="I787" s="77"/>
    </row>
    <row r="788" ht="15.75" customHeight="1">
      <c r="I788" s="77"/>
    </row>
    <row r="789" ht="15.75" customHeight="1">
      <c r="I789" s="77"/>
    </row>
    <row r="790" ht="15.75" customHeight="1">
      <c r="I790" s="77"/>
    </row>
    <row r="791" ht="15.75" customHeight="1">
      <c r="I791" s="77"/>
    </row>
    <row r="792" ht="15.75" customHeight="1">
      <c r="I792" s="77"/>
    </row>
    <row r="793" ht="15.75" customHeight="1">
      <c r="I793" s="77"/>
    </row>
    <row r="794" ht="15.75" customHeight="1">
      <c r="I794" s="77"/>
    </row>
    <row r="795" ht="15.75" customHeight="1">
      <c r="I795" s="77"/>
    </row>
    <row r="796" ht="15.75" customHeight="1">
      <c r="I796" s="77"/>
    </row>
    <row r="797" ht="15.75" customHeight="1">
      <c r="I797" s="77"/>
    </row>
    <row r="798" ht="15.75" customHeight="1">
      <c r="I798" s="77"/>
    </row>
    <row r="799" ht="15.75" customHeight="1">
      <c r="I799" s="77"/>
    </row>
    <row r="800" ht="15.75" customHeight="1">
      <c r="I800" s="77"/>
    </row>
    <row r="801" ht="15.75" customHeight="1">
      <c r="I801" s="77"/>
    </row>
    <row r="802" ht="15.75" customHeight="1">
      <c r="I802" s="77"/>
    </row>
    <row r="803" ht="15.75" customHeight="1">
      <c r="I803" s="77"/>
    </row>
    <row r="804" ht="15.75" customHeight="1">
      <c r="I804" s="77"/>
    </row>
    <row r="805" ht="15.75" customHeight="1">
      <c r="I805" s="77"/>
    </row>
    <row r="806" ht="15.75" customHeight="1">
      <c r="I806" s="77"/>
    </row>
    <row r="807" ht="15.75" customHeight="1">
      <c r="I807" s="77"/>
    </row>
    <row r="808" ht="15.75" customHeight="1">
      <c r="I808" s="77"/>
    </row>
    <row r="809" ht="15.75" customHeight="1">
      <c r="I809" s="77"/>
    </row>
    <row r="810" ht="15.75" customHeight="1">
      <c r="I810" s="77"/>
    </row>
    <row r="811" ht="15.75" customHeight="1">
      <c r="I811" s="77"/>
    </row>
    <row r="812" ht="15.75" customHeight="1">
      <c r="I812" s="77"/>
    </row>
    <row r="813" ht="15.75" customHeight="1">
      <c r="I813" s="77"/>
    </row>
    <row r="814" ht="15.75" customHeight="1">
      <c r="I814" s="77"/>
    </row>
    <row r="815" ht="15.75" customHeight="1">
      <c r="I815" s="77"/>
    </row>
    <row r="816" ht="15.75" customHeight="1">
      <c r="I816" s="77"/>
    </row>
    <row r="817" ht="15.75" customHeight="1">
      <c r="I817" s="77"/>
    </row>
    <row r="818" ht="15.75" customHeight="1">
      <c r="I818" s="77"/>
    </row>
    <row r="819" ht="15.75" customHeight="1">
      <c r="I819" s="77"/>
    </row>
    <row r="820" ht="15.75" customHeight="1">
      <c r="I820" s="77"/>
    </row>
    <row r="821" ht="15.75" customHeight="1">
      <c r="I821" s="77"/>
    </row>
    <row r="822" ht="15.75" customHeight="1">
      <c r="I822" s="77"/>
    </row>
    <row r="823" ht="15.75" customHeight="1">
      <c r="I823" s="77"/>
    </row>
    <row r="824" ht="15.75" customHeight="1">
      <c r="I824" s="77"/>
    </row>
    <row r="825" ht="15.75" customHeight="1">
      <c r="I825" s="77"/>
    </row>
    <row r="826" ht="15.75" customHeight="1">
      <c r="I826" s="77"/>
    </row>
    <row r="827" ht="15.75" customHeight="1">
      <c r="I827" s="77"/>
    </row>
    <row r="828" ht="15.75" customHeight="1">
      <c r="I828" s="77"/>
    </row>
    <row r="829" ht="15.75" customHeight="1">
      <c r="I829" s="77"/>
    </row>
    <row r="830" ht="15.75" customHeight="1">
      <c r="I830" s="77"/>
    </row>
    <row r="831" ht="15.75" customHeight="1">
      <c r="I831" s="77"/>
    </row>
    <row r="832" ht="15.75" customHeight="1">
      <c r="I832" s="77"/>
    </row>
    <row r="833" ht="15.75" customHeight="1">
      <c r="I833" s="77"/>
    </row>
    <row r="834" ht="15.75" customHeight="1">
      <c r="I834" s="77"/>
    </row>
    <row r="835" ht="15.75" customHeight="1">
      <c r="I835" s="77"/>
    </row>
    <row r="836" ht="15.75" customHeight="1">
      <c r="I836" s="77"/>
    </row>
    <row r="837" ht="15.75" customHeight="1">
      <c r="I837" s="77"/>
    </row>
    <row r="838" ht="15.75" customHeight="1">
      <c r="I838" s="77"/>
    </row>
    <row r="839" ht="15.75" customHeight="1">
      <c r="I839" s="77"/>
    </row>
    <row r="840" ht="15.75" customHeight="1">
      <c r="I840" s="77"/>
    </row>
    <row r="841" ht="15.75" customHeight="1">
      <c r="I841" s="77"/>
    </row>
    <row r="842" ht="15.75" customHeight="1">
      <c r="I842" s="77"/>
    </row>
    <row r="843" ht="15.75" customHeight="1">
      <c r="I843" s="77"/>
    </row>
    <row r="844" ht="15.75" customHeight="1">
      <c r="I844" s="77"/>
    </row>
    <row r="845" ht="15.75" customHeight="1">
      <c r="I845" s="77"/>
    </row>
    <row r="846" ht="15.75" customHeight="1">
      <c r="I846" s="77"/>
    </row>
    <row r="847" ht="15.75" customHeight="1">
      <c r="I847" s="77"/>
    </row>
    <row r="848" ht="15.75" customHeight="1">
      <c r="I848" s="77"/>
    </row>
    <row r="849" ht="15.75" customHeight="1">
      <c r="I849" s="77"/>
    </row>
    <row r="850" ht="15.75" customHeight="1">
      <c r="I850" s="77"/>
    </row>
    <row r="851" ht="15.75" customHeight="1">
      <c r="I851" s="77"/>
    </row>
    <row r="852" ht="15.75" customHeight="1">
      <c r="I852" s="77"/>
    </row>
    <row r="853" ht="15.75" customHeight="1">
      <c r="I853" s="77"/>
    </row>
    <row r="854" ht="15.75" customHeight="1">
      <c r="I854" s="77"/>
    </row>
    <row r="855" ht="15.75" customHeight="1">
      <c r="I855" s="77"/>
    </row>
    <row r="856" ht="15.75" customHeight="1">
      <c r="I856" s="77"/>
    </row>
    <row r="857" ht="15.75" customHeight="1">
      <c r="I857" s="77"/>
    </row>
    <row r="858" ht="15.75" customHeight="1">
      <c r="I858" s="77"/>
    </row>
    <row r="859" ht="15.75" customHeight="1">
      <c r="I859" s="77"/>
    </row>
    <row r="860" ht="15.75" customHeight="1">
      <c r="I860" s="77"/>
    </row>
    <row r="861" ht="15.75" customHeight="1">
      <c r="I861" s="77"/>
    </row>
    <row r="862" ht="15.75" customHeight="1">
      <c r="I862" s="77"/>
    </row>
    <row r="863" ht="15.75" customHeight="1">
      <c r="I863" s="77"/>
    </row>
    <row r="864" ht="15.75" customHeight="1">
      <c r="I864" s="77"/>
    </row>
    <row r="865" ht="15.75" customHeight="1">
      <c r="I865" s="77"/>
    </row>
    <row r="866" ht="15.75" customHeight="1">
      <c r="I866" s="77"/>
    </row>
    <row r="867" ht="15.75" customHeight="1">
      <c r="I867" s="77"/>
    </row>
    <row r="868" ht="15.75" customHeight="1">
      <c r="I868" s="77"/>
    </row>
    <row r="869" ht="15.75" customHeight="1">
      <c r="I869" s="77"/>
    </row>
    <row r="870" ht="15.75" customHeight="1">
      <c r="I870" s="77"/>
    </row>
    <row r="871" ht="15.75" customHeight="1">
      <c r="I871" s="77"/>
    </row>
    <row r="872" ht="15.75" customHeight="1">
      <c r="I872" s="77"/>
    </row>
    <row r="873" ht="15.75" customHeight="1">
      <c r="I873" s="77"/>
    </row>
    <row r="874" ht="15.75" customHeight="1">
      <c r="I874" s="77"/>
    </row>
    <row r="875" ht="15.75" customHeight="1">
      <c r="I875" s="77"/>
    </row>
    <row r="876" ht="15.75" customHeight="1">
      <c r="I876" s="77"/>
    </row>
    <row r="877" ht="15.75" customHeight="1">
      <c r="I877" s="77"/>
    </row>
    <row r="878" ht="15.75" customHeight="1">
      <c r="I878" s="77"/>
    </row>
    <row r="879" ht="15.75" customHeight="1">
      <c r="I879" s="77"/>
    </row>
    <row r="880" ht="15.75" customHeight="1">
      <c r="I880" s="77"/>
    </row>
    <row r="881" ht="15.75" customHeight="1">
      <c r="I881" s="77"/>
    </row>
    <row r="882" ht="15.75" customHeight="1">
      <c r="I882" s="77"/>
    </row>
    <row r="883" ht="15.75" customHeight="1">
      <c r="I883" s="77"/>
    </row>
    <row r="884" ht="15.75" customHeight="1">
      <c r="I884" s="77"/>
    </row>
    <row r="885" ht="15.75" customHeight="1">
      <c r="I885" s="77"/>
    </row>
    <row r="886" ht="15.75" customHeight="1">
      <c r="I886" s="77"/>
    </row>
    <row r="887" ht="15.75" customHeight="1">
      <c r="I887" s="77"/>
    </row>
    <row r="888" ht="15.75" customHeight="1">
      <c r="I888" s="77"/>
    </row>
    <row r="889" ht="15.75" customHeight="1">
      <c r="I889" s="77"/>
    </row>
    <row r="890" ht="15.75" customHeight="1">
      <c r="I890" s="77"/>
    </row>
    <row r="891" ht="15.75" customHeight="1">
      <c r="I891" s="77"/>
    </row>
    <row r="892" ht="15.75" customHeight="1">
      <c r="I892" s="77"/>
    </row>
    <row r="893" ht="15.75" customHeight="1">
      <c r="I893" s="77"/>
    </row>
    <row r="894" ht="15.75" customHeight="1">
      <c r="I894" s="77"/>
    </row>
    <row r="895" ht="15.75" customHeight="1">
      <c r="I895" s="77"/>
    </row>
    <row r="896" ht="15.75" customHeight="1">
      <c r="I896" s="77"/>
    </row>
    <row r="897" ht="15.75" customHeight="1">
      <c r="I897" s="77"/>
    </row>
    <row r="898" ht="15.75" customHeight="1">
      <c r="I898" s="77"/>
    </row>
    <row r="899" ht="15.75" customHeight="1">
      <c r="I899" s="77"/>
    </row>
    <row r="900" ht="15.75" customHeight="1">
      <c r="I900" s="77"/>
    </row>
    <row r="901" ht="15.75" customHeight="1">
      <c r="I901" s="77"/>
    </row>
    <row r="902" ht="15.75" customHeight="1">
      <c r="I902" s="77"/>
    </row>
    <row r="903" ht="15.75" customHeight="1">
      <c r="I903" s="77"/>
    </row>
    <row r="904" ht="15.75" customHeight="1">
      <c r="I904" s="77"/>
    </row>
    <row r="905" ht="15.75" customHeight="1">
      <c r="I905" s="77"/>
    </row>
    <row r="906" ht="15.75" customHeight="1">
      <c r="I906" s="77"/>
    </row>
    <row r="907" ht="15.75" customHeight="1">
      <c r="I907" s="77"/>
    </row>
    <row r="908" ht="15.75" customHeight="1">
      <c r="I908" s="77"/>
    </row>
    <row r="909" ht="15.75" customHeight="1">
      <c r="I909" s="77"/>
    </row>
    <row r="910" ht="15.75" customHeight="1">
      <c r="I910" s="77"/>
    </row>
    <row r="911" ht="15.75" customHeight="1">
      <c r="I911" s="77"/>
    </row>
    <row r="912" ht="15.75" customHeight="1">
      <c r="I912" s="77"/>
    </row>
    <row r="913" ht="15.75" customHeight="1">
      <c r="I913" s="77"/>
    </row>
    <row r="914" ht="15.75" customHeight="1">
      <c r="I914" s="77"/>
    </row>
    <row r="915" ht="15.75" customHeight="1">
      <c r="I915" s="77"/>
    </row>
    <row r="916" ht="15.75" customHeight="1">
      <c r="I916" s="77"/>
    </row>
    <row r="917" ht="15.75" customHeight="1">
      <c r="I917" s="77"/>
    </row>
    <row r="918" ht="15.75" customHeight="1">
      <c r="I918" s="77"/>
    </row>
    <row r="919" ht="15.75" customHeight="1">
      <c r="I919" s="77"/>
    </row>
    <row r="920" ht="15.75" customHeight="1">
      <c r="I920" s="77"/>
    </row>
    <row r="921" ht="15.75" customHeight="1">
      <c r="I921" s="77"/>
    </row>
    <row r="922" ht="15.75" customHeight="1">
      <c r="I922" s="77"/>
    </row>
    <row r="923" ht="15.75" customHeight="1">
      <c r="I923" s="77"/>
    </row>
    <row r="924" ht="15.75" customHeight="1">
      <c r="I924" s="77"/>
    </row>
    <row r="925" ht="15.75" customHeight="1">
      <c r="I925" s="77"/>
    </row>
    <row r="926" ht="15.75" customHeight="1">
      <c r="I926" s="77"/>
    </row>
    <row r="927" ht="15.75" customHeight="1">
      <c r="I927" s="77"/>
    </row>
    <row r="928" ht="15.75" customHeight="1">
      <c r="I928" s="77"/>
    </row>
    <row r="929" ht="15.75" customHeight="1">
      <c r="I929" s="77"/>
    </row>
    <row r="930" ht="15.75" customHeight="1">
      <c r="I930" s="77"/>
    </row>
    <row r="931" ht="15.75" customHeight="1">
      <c r="I931" s="77"/>
    </row>
    <row r="932" ht="15.75" customHeight="1">
      <c r="I932" s="77"/>
    </row>
    <row r="933" ht="15.75" customHeight="1">
      <c r="I933" s="77"/>
    </row>
    <row r="934" ht="15.75" customHeight="1">
      <c r="I934" s="77"/>
    </row>
    <row r="935" ht="15.75" customHeight="1">
      <c r="I935" s="77"/>
    </row>
    <row r="936" ht="15.75" customHeight="1">
      <c r="I936" s="77"/>
    </row>
    <row r="937" ht="15.75" customHeight="1">
      <c r="I937" s="77"/>
    </row>
    <row r="938" ht="15.75" customHeight="1">
      <c r="I938" s="77"/>
    </row>
    <row r="939" ht="15.75" customHeight="1">
      <c r="I939" s="77"/>
    </row>
    <row r="940" ht="15.75" customHeight="1">
      <c r="I940" s="77"/>
    </row>
    <row r="941" ht="15.75" customHeight="1">
      <c r="I941" s="77"/>
    </row>
    <row r="942" ht="15.75" customHeight="1">
      <c r="I942" s="77"/>
    </row>
    <row r="943" ht="15.75" customHeight="1">
      <c r="I943" s="77"/>
    </row>
    <row r="944" ht="15.75" customHeight="1">
      <c r="I944" s="77"/>
    </row>
    <row r="945" ht="15.75" customHeight="1">
      <c r="I945" s="77"/>
    </row>
    <row r="946" ht="15.75" customHeight="1">
      <c r="I946" s="77"/>
    </row>
    <row r="947" ht="15.75" customHeight="1">
      <c r="I947" s="77"/>
    </row>
    <row r="948" ht="15.75" customHeight="1">
      <c r="I948" s="77"/>
    </row>
    <row r="949" ht="15.75" customHeight="1">
      <c r="I949" s="77"/>
    </row>
    <row r="950" ht="15.75" customHeight="1">
      <c r="I950" s="77"/>
    </row>
    <row r="951" ht="15.75" customHeight="1">
      <c r="I951" s="77"/>
    </row>
    <row r="952" ht="15.75" customHeight="1">
      <c r="I952" s="77"/>
    </row>
    <row r="953" ht="15.75" customHeight="1">
      <c r="I953" s="77"/>
    </row>
    <row r="954" ht="15.75" customHeight="1">
      <c r="I954" s="77"/>
    </row>
    <row r="955" ht="15.75" customHeight="1">
      <c r="I955" s="77"/>
    </row>
    <row r="956" ht="15.75" customHeight="1">
      <c r="I956" s="77"/>
    </row>
    <row r="957" ht="15.75" customHeight="1">
      <c r="I957" s="77"/>
    </row>
    <row r="958" ht="15.75" customHeight="1">
      <c r="I958" s="77"/>
    </row>
    <row r="959" ht="15.75" customHeight="1">
      <c r="I959" s="77"/>
    </row>
    <row r="960" ht="15.75" customHeight="1">
      <c r="I960" s="77"/>
    </row>
    <row r="961" ht="15.75" customHeight="1">
      <c r="I961" s="77"/>
    </row>
    <row r="962" ht="15.75" customHeight="1">
      <c r="I962" s="77"/>
    </row>
    <row r="963" ht="15.75" customHeight="1">
      <c r="I963" s="77"/>
    </row>
    <row r="964" ht="15.75" customHeight="1">
      <c r="I964" s="77"/>
    </row>
    <row r="965" ht="15.75" customHeight="1">
      <c r="I965" s="77"/>
    </row>
    <row r="966" ht="15.75" customHeight="1">
      <c r="I966" s="77"/>
    </row>
    <row r="967" ht="15.75" customHeight="1">
      <c r="I967" s="77"/>
    </row>
    <row r="968" ht="15.75" customHeight="1">
      <c r="I968" s="77"/>
    </row>
    <row r="969" ht="15.75" customHeight="1">
      <c r="I969" s="77"/>
    </row>
    <row r="970" ht="15.75" customHeight="1">
      <c r="I970" s="77"/>
    </row>
    <row r="971" ht="15.75" customHeight="1">
      <c r="I971" s="77"/>
    </row>
    <row r="972" ht="15.75" customHeight="1">
      <c r="I972" s="77"/>
    </row>
    <row r="973" ht="15.75" customHeight="1">
      <c r="I973" s="77"/>
    </row>
    <row r="974" ht="15.75" customHeight="1">
      <c r="I974" s="77"/>
    </row>
    <row r="975" ht="15.75" customHeight="1">
      <c r="I975" s="77"/>
    </row>
    <row r="976" ht="15.75" customHeight="1">
      <c r="I976" s="77"/>
    </row>
    <row r="977" ht="15.75" customHeight="1">
      <c r="I977" s="77"/>
    </row>
    <row r="978" ht="15.75" customHeight="1">
      <c r="I978" s="77"/>
    </row>
    <row r="979" ht="15.75" customHeight="1">
      <c r="I979" s="77"/>
    </row>
    <row r="980" ht="15.75" customHeight="1">
      <c r="I980" s="77"/>
    </row>
    <row r="981" ht="15.75" customHeight="1">
      <c r="I981" s="77"/>
    </row>
    <row r="982" ht="15.75" customHeight="1">
      <c r="I982" s="77"/>
    </row>
    <row r="983" ht="15.75" customHeight="1">
      <c r="I983" s="77"/>
    </row>
    <row r="984" ht="15.75" customHeight="1">
      <c r="I984" s="77"/>
    </row>
    <row r="985" ht="15.75" customHeight="1">
      <c r="I985" s="77"/>
    </row>
    <row r="986" ht="15.75" customHeight="1">
      <c r="I986" s="77"/>
    </row>
    <row r="987" ht="15.75" customHeight="1">
      <c r="I987" s="77"/>
    </row>
    <row r="988" ht="15.75" customHeight="1">
      <c r="I988" s="77"/>
    </row>
    <row r="989" ht="15.75" customHeight="1">
      <c r="I989" s="77"/>
    </row>
    <row r="990" ht="15.75" customHeight="1">
      <c r="I990" s="77"/>
    </row>
    <row r="991" ht="15.75" customHeight="1">
      <c r="I991" s="77"/>
    </row>
    <row r="992" ht="15.75" customHeight="1">
      <c r="I992" s="77"/>
    </row>
    <row r="993" ht="15.75" customHeight="1">
      <c r="I993" s="77"/>
    </row>
    <row r="994" ht="15.75" customHeight="1">
      <c r="I994" s="77"/>
    </row>
    <row r="995" ht="15.75" customHeight="1">
      <c r="I995" s="77"/>
    </row>
    <row r="996" ht="15.75" customHeight="1">
      <c r="I996" s="77"/>
    </row>
    <row r="997" ht="15.75" customHeight="1">
      <c r="I997" s="77"/>
    </row>
    <row r="998" ht="15.75" customHeight="1">
      <c r="I998" s="77"/>
    </row>
    <row r="999" ht="15.75" customHeight="1">
      <c r="I999" s="77"/>
    </row>
    <row r="1000" ht="15.75" customHeight="1">
      <c r="I1000" s="77"/>
    </row>
  </sheetData>
  <mergeCells count="2">
    <mergeCell ref="A1:R1"/>
    <mergeCell ref="A2:R2"/>
  </mergeCells>
  <conditionalFormatting sqref="H5:H34">
    <cfRule type="containsText" dxfId="5" priority="1" operator="containsText" text="Selesai">
      <formula>NOT(ISERROR(SEARCH(("Selesai"),(H5))))</formula>
    </cfRule>
  </conditionalFormatting>
  <conditionalFormatting sqref="H5:H34">
    <cfRule type="containsText" dxfId="6" priority="2" operator="containsText" text="Tidak ditemukan">
      <formula>NOT(ISERROR(SEARCH(("Tidak ditemukan"),(H5))))</formula>
    </cfRule>
  </conditionalFormatting>
  <dataValidations>
    <dataValidation type="custom" allowBlank="1" showDropDown="1" sqref="Q5:Q34">
      <formula1>OR(NOT(ISERROR(DATEVALUE(Q5))), AND(ISNUMBER(Q5), LEFT(CELL("format", Q5))="D"))</formula1>
    </dataValidation>
    <dataValidation type="list" allowBlank="1" sqref="H5:H34">
      <formula1>"Belum dimulai,Sedang dicari,Selesai,Tidak ditemukan"</formula1>
    </dataValidation>
  </dataValidations>
  <hyperlinks>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9"/>
    <hyperlink r:id="rId28" ref="N30"/>
    <hyperlink r:id="rId29" ref="N32"/>
    <hyperlink r:id="rId30" ref="N33"/>
    <hyperlink r:id="rId31" ref="N34"/>
  </hyperlinks>
  <printOptions/>
  <pageMargins bottom="0.75" footer="0.0" header="0.0" left="0.7" right="0.7" top="0.75"/>
  <pageSetup orientation="landscape"/>
  <drawing r:id="rId32"/>
  <legacyDrawing r:id="rId33"/>
  <tableParts count="1">
    <tablePart r:id="rId3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hidden="1" min="1" max="1" width="11.0"/>
    <col customWidth="1" min="2" max="2" width="17.75"/>
    <col customWidth="1" min="3" max="3" width="27.75"/>
    <col customWidth="1" min="4" max="4" width="34.0"/>
    <col customWidth="1" min="5" max="5" width="13.13"/>
    <col customWidth="1" min="6" max="6" width="11.25"/>
    <col customWidth="1" min="7" max="7" width="43.38"/>
    <col customWidth="1" min="8" max="8" width="15.38"/>
    <col customWidth="1" min="9" max="9" width="22.0"/>
    <col customWidth="1" min="10" max="10" width="39.38"/>
    <col customWidth="1" min="11" max="18" width="8.63"/>
  </cols>
  <sheetData>
    <row r="1" ht="30.0" customHeight="1">
      <c r="A1" s="12" t="s">
        <v>65</v>
      </c>
      <c r="B1" s="13"/>
      <c r="C1" s="13"/>
      <c r="D1" s="13"/>
      <c r="E1" s="13"/>
      <c r="F1" s="13"/>
      <c r="G1" s="13"/>
      <c r="H1" s="13"/>
      <c r="I1" s="14"/>
    </row>
    <row r="2">
      <c r="A2" s="15" t="s">
        <v>66</v>
      </c>
      <c r="B2" s="13"/>
      <c r="C2" s="13"/>
      <c r="D2" s="13"/>
      <c r="E2" s="13"/>
      <c r="F2" s="13"/>
      <c r="G2" s="13"/>
      <c r="H2" s="13"/>
      <c r="I2" s="14"/>
    </row>
    <row r="3" ht="24.75" customHeight="1">
      <c r="A3" s="16" t="s">
        <v>68</v>
      </c>
      <c r="B3" s="17"/>
      <c r="C3" s="20">
        <f>COUNTA(A6:A35)</f>
        <v>30</v>
      </c>
      <c r="D3" s="22" t="s">
        <v>70</v>
      </c>
      <c r="E3" s="17"/>
      <c r="F3" s="23">
        <f>COUNTIF('Pencarian Manual'!H5:H34,"Selesai")</f>
        <v>30</v>
      </c>
      <c r="G3" s="24" t="s">
        <v>77</v>
      </c>
      <c r="H3" s="25">
        <f>COUNTIF(#REF!,"Parsial")</f>
        <v>0</v>
      </c>
      <c r="I3" s="24" t="s">
        <v>80</v>
      </c>
    </row>
    <row r="4">
      <c r="A4" s="18"/>
      <c r="B4" s="18"/>
      <c r="C4" s="18"/>
      <c r="D4" s="27"/>
      <c r="E4" s="27"/>
      <c r="F4" s="27"/>
      <c r="G4" s="18"/>
      <c r="H4" s="18"/>
      <c r="I4" s="18"/>
    </row>
    <row r="5" ht="43.5" customHeight="1">
      <c r="A5" s="21" t="s">
        <v>69</v>
      </c>
      <c r="B5" s="28" t="s">
        <v>73</v>
      </c>
      <c r="C5" s="28" t="s">
        <v>76</v>
      </c>
      <c r="D5" s="29" t="s">
        <v>88</v>
      </c>
      <c r="E5" s="29" t="s">
        <v>81</v>
      </c>
      <c r="F5" s="29" t="s">
        <v>92</v>
      </c>
      <c r="G5" s="28" t="s">
        <v>93</v>
      </c>
      <c r="H5" s="28" t="s">
        <v>95</v>
      </c>
      <c r="I5" s="31" t="s">
        <v>96</v>
      </c>
      <c r="J5" s="32" t="s">
        <v>98</v>
      </c>
    </row>
    <row r="6" ht="54.0" customHeight="1">
      <c r="A6" s="35" t="str">
        <f>'Pencarian Manual'!A5</f>
        <v>ILO-01</v>
      </c>
      <c r="B6" s="37" t="str">
        <f>'Pencarian Manual'!D5</f>
        <v>What was Malaysia's unemployment rate in 2022?</v>
      </c>
      <c r="C6" s="37" t="str">
        <f>'Pencarian Manual'!G5</f>
        <v>Satu angka (%) untuk 2022 dan nama sumber survei.</v>
      </c>
      <c r="D6" s="41">
        <f>IF('Pencarian Manual'!I5="","",'Pencarian Manual'!I5)</f>
        <v>0.039</v>
      </c>
      <c r="E6" s="42" t="str">
        <f>IF('Pencarian Manual'!J5="","",'Pencarian Manual'!J5)</f>
        <v/>
      </c>
      <c r="F6" s="42">
        <f>IF('Pencarian Manual'!L5="","",'Pencarian Manual'!L5)</f>
        <v>2022</v>
      </c>
      <c r="G6" s="45">
        <v>0.039</v>
      </c>
      <c r="H6" s="47" t="s">
        <v>77</v>
      </c>
      <c r="I6" s="48" t="s">
        <v>108</v>
      </c>
      <c r="J6" s="50"/>
    </row>
    <row r="7" ht="54.0" customHeight="1">
      <c r="A7" s="52" t="str">
        <f>'Pencarian Manual'!A6</f>
        <v>ILO-02</v>
      </c>
      <c r="B7" s="37" t="str">
        <f>'Pencarian Manual'!D6</f>
        <v>What is France's current unemployment rate?</v>
      </c>
      <c r="C7" s="37" t="str">
        <f>'Pencarian Manual'!G6</f>
        <v>Angka tahun terbaru; tahun dan sumber survei disebutkan.</v>
      </c>
      <c r="D7" s="41">
        <f>IF('Pencarian Manual'!I6="","",'Pencarian Manual'!I6)</f>
        <v>0.077</v>
      </c>
      <c r="E7" s="42" t="str">
        <f>IF('Pencarian Manual'!J6="","",'Pencarian Manual'!J6)</f>
        <v/>
      </c>
      <c r="F7" s="42">
        <f>IF('Pencarian Manual'!L6="","",'Pencarian Manual'!L6)</f>
        <v>2025</v>
      </c>
      <c r="G7" s="58">
        <v>0.077</v>
      </c>
      <c r="H7" s="47" t="s">
        <v>77</v>
      </c>
      <c r="I7" s="48" t="s">
        <v>119</v>
      </c>
      <c r="J7" s="50"/>
    </row>
    <row r="8" ht="54.0" customHeight="1">
      <c r="A8" s="52" t="str">
        <f>'Pencarian Manual'!A7</f>
        <v>ILO-03</v>
      </c>
      <c r="B8" s="37" t="str">
        <f>'Pencarian Manual'!D7</f>
        <v>Did Brazil's unemployment go up or down in 2018?</v>
      </c>
      <c r="C8" s="37" t="str">
        <f>'Pencarian Manual'!G7</f>
        <v>Nilai 2017 dan 2018 serta arah perubahan.</v>
      </c>
      <c r="D8" s="42" t="str">
        <f>IF('Pencarian Manual'!I7="","",'Pencarian Manual'!I7)</f>
        <v>YES. 
2019: 11.9%
2018: 12.3%</v>
      </c>
      <c r="E8" s="42" t="str">
        <f>IF('Pencarian Manual'!J7="","",'Pencarian Manual'!J7)</f>
        <v/>
      </c>
      <c r="F8" s="42" t="str">
        <f>IF('Pencarian Manual'!L7="","",'Pencarian Manual'!L7)</f>
        <v>2017-2018</v>
      </c>
      <c r="G8" s="63" t="s">
        <v>128</v>
      </c>
      <c r="H8" s="47" t="s">
        <v>77</v>
      </c>
      <c r="I8" s="48" t="s">
        <v>133</v>
      </c>
      <c r="J8" s="50"/>
    </row>
    <row r="9" ht="130.5" customHeight="1">
      <c r="A9" s="52" t="str">
        <f>'Pencarian Manual'!A8</f>
        <v>ILO-04</v>
      </c>
      <c r="B9" s="37" t="str">
        <f>'Pencarian Manual'!D8</f>
        <v>Show me Spain's unemployment rate from 2010 to 2023</v>
      </c>
      <c r="C9" s="37" t="str">
        <f>'Pencarian Manual'!G8</f>
        <v>Seri tahunan dan peringatan jika ada perubahan metodologi.</v>
      </c>
      <c r="D9" s="42" t="str">
        <f>IF('Pencarian Manual'!I8="","",'Pencarian Manual'!I8)</f>
        <v>2023: 12.2%
2022: 15%
2021: 14.9%
2020: 15.5%
2019: 14.1%
2018: 15.3%
2017: 17.2%
2016: 19.6%
2015: 22.1%
2014: 24.4%</v>
      </c>
      <c r="E9" s="42" t="str">
        <f>IF('Pencarian Manual'!J8="","",'Pencarian Manual'!J8)</f>
        <v/>
      </c>
      <c r="F9" s="42" t="str">
        <f>IF('Pencarian Manual'!L8="","",'Pencarian Manual'!L8)</f>
        <v>2014-2023</v>
      </c>
      <c r="G9" s="63" t="s">
        <v>144</v>
      </c>
      <c r="H9" s="66" t="s">
        <v>146</v>
      </c>
      <c r="I9" s="48" t="s">
        <v>147</v>
      </c>
      <c r="J9" s="50"/>
    </row>
    <row r="10" ht="140.25" customHeight="1">
      <c r="A10" s="52" t="str">
        <f>'Pencarian Manual'!A9</f>
        <v>ILO-05</v>
      </c>
      <c r="B10" s="37" t="str">
        <f>'Pencarian Manual'!D9</f>
        <v>How has Thailand's unemployment changed over the last decade?</v>
      </c>
      <c r="C10" s="37" t="str">
        <f>'Pencarian Manual'!G9</f>
        <v>Seri 10 tahun tersedia dan status seri bersih/bermasalah.</v>
      </c>
      <c r="D10" s="68" t="s">
        <v>142</v>
      </c>
      <c r="E10" s="42" t="str">
        <f>IF('Pencarian Manual'!J9="","",'Pencarian Manual'!J9)</f>
        <v/>
      </c>
      <c r="F10" s="42" t="str">
        <f>IF('Pencarian Manual'!L9="","",'Pencarian Manual'!L9)</f>
        <v>2015-2025</v>
      </c>
      <c r="G10" s="63" t="s">
        <v>156</v>
      </c>
      <c r="H10" s="47" t="s">
        <v>77</v>
      </c>
      <c r="I10" s="48" t="s">
        <v>133</v>
      </c>
      <c r="J10" s="50"/>
    </row>
    <row r="11" ht="122.25" customHeight="1">
      <c r="A11" s="52" t="str">
        <f>'Pencarian Manual'!A10</f>
        <v>ILO-06</v>
      </c>
      <c r="B11" s="37" t="str">
        <f>'Pencarian Manual'!D10</f>
        <v>What was Nigeria's unemployment each year between 2015 and 2022?</v>
      </c>
      <c r="C11" s="37" t="str">
        <f>'Pencarian Manual'!G10</f>
        <v>Seri tahunan; peringatan break pada 2019 akibat perubahan sumber survei.</v>
      </c>
      <c r="D11" s="68" t="str">
        <f>'Pencarian Manual'!I10</f>
        <v>2019: 9.1%
2022: 5.1%</v>
      </c>
      <c r="E11" s="42" t="str">
        <f>IF('Pencarian Manual'!J10="","",'Pencarian Manual'!J10)</f>
        <v/>
      </c>
      <c r="F11" s="42" t="str">
        <f>IF('Pencarian Manual'!L10="","",'Pencarian Manual'!L10)</f>
        <v>2019 and 2022</v>
      </c>
      <c r="G11" s="63" t="s">
        <v>167</v>
      </c>
      <c r="H11" s="66" t="s">
        <v>169</v>
      </c>
      <c r="I11" s="48" t="s">
        <v>170</v>
      </c>
      <c r="J11" s="71" t="s">
        <v>171</v>
      </c>
    </row>
    <row r="12" ht="54.0" customHeight="1">
      <c r="A12" s="52" t="str">
        <f>'Pencarian Manual'!A11</f>
        <v>ILO-07</v>
      </c>
      <c r="B12" s="37" t="str">
        <f>'Pencarian Manual'!D11</f>
        <v>What was the year-on-year change in Germany's unemployment from 2021 to 2022?</v>
      </c>
      <c r="C12" s="37" t="str">
        <f>'Pencarian Manual'!G11</f>
        <v>Perubahan percentage point dan kedua nilai pembentuknya.</v>
      </c>
      <c r="D12" s="68" t="str">
        <f>'Pencarian Manual'!I11</f>
        <v>−0.4 percentage points (pp)</v>
      </c>
      <c r="E12" s="42" t="str">
        <f>IF('Pencarian Manual'!J11="","",'Pencarian Manual'!J11)</f>
        <v/>
      </c>
      <c r="F12" s="42" t="str">
        <f>IF('Pencarian Manual'!L11="","",'Pencarian Manual'!L11)</f>
        <v>2021-2022</v>
      </c>
      <c r="G12" s="63" t="s">
        <v>179</v>
      </c>
      <c r="H12" s="47" t="s">
        <v>77</v>
      </c>
      <c r="I12" s="48" t="s">
        <v>108</v>
      </c>
      <c r="J12" s="72"/>
    </row>
    <row r="13" ht="54.0" customHeight="1">
      <c r="A13" s="52" t="str">
        <f>'Pencarian Manual'!A12</f>
        <v>ILO-08</v>
      </c>
      <c r="B13" s="37" t="str">
        <f>'Pencarian Manual'!D12</f>
        <v>What's the CAGR of Pakistan's unemployment from 2010 to 2020?</v>
      </c>
      <c r="C13" s="37" t="str">
        <f>'Pencarian Manual'!G12</f>
        <v>CAGR disertai peringatan bahwa terdapat 5 methodology breaks.</v>
      </c>
      <c r="D13" s="68" t="str">
        <f>'Pencarian Manual'!I12</f>
        <v>N/A</v>
      </c>
      <c r="E13" s="42" t="str">
        <f>IF('Pencarian Manual'!J12="","",'Pencarian Manual'!J12)</f>
        <v/>
      </c>
      <c r="F13" s="42" t="str">
        <f>IF('Pencarian Manual'!L12="","",'Pencarian Manual'!L12)</f>
        <v/>
      </c>
      <c r="G13" s="63" t="s">
        <v>192</v>
      </c>
      <c r="H13" s="73"/>
      <c r="I13" s="48" t="s">
        <v>108</v>
      </c>
      <c r="J13" s="71" t="s">
        <v>195</v>
      </c>
    </row>
    <row r="14" ht="121.5" customHeight="1">
      <c r="A14" s="52" t="str">
        <f>'Pencarian Manual'!A13</f>
        <v>ILO-09</v>
      </c>
      <c r="B14" s="37" t="str">
        <f>'Pencarian Manual'!D13</f>
        <v>Is Italy's unemployment trending up or down since 2015?</v>
      </c>
      <c r="C14" s="37" t="str">
        <f>'Pencarian Manual'!G13</f>
        <v>Arah tren, slope, dan kualitas fit pada data tersedia.</v>
      </c>
      <c r="D14" s="68" t="str">
        <f>'Pencarian Manual'!I13</f>
        <v>Italy mengalami penurunan unemployment rate secara konsisten sejak 2015, dengan satu pengecualian pada 2020</v>
      </c>
      <c r="E14" s="42" t="str">
        <f>IF('Pencarian Manual'!J13="","",'Pencarian Manual'!J13)</f>
        <v/>
      </c>
      <c r="F14" s="42" t="str">
        <f>IF('Pencarian Manual'!L13="","",'Pencarian Manual'!L13)</f>
        <v>2015-2025</v>
      </c>
      <c r="G14" s="63" t="s">
        <v>202</v>
      </c>
      <c r="H14" s="47" t="s">
        <v>77</v>
      </c>
      <c r="I14" s="48" t="s">
        <v>203</v>
      </c>
      <c r="J14" s="72"/>
    </row>
    <row r="15" ht="54.0" customHeight="1">
      <c r="A15" s="52" t="str">
        <f>'Pencarian Manual'!A14</f>
        <v>ILO-10</v>
      </c>
      <c r="B15" s="37" t="str">
        <f>'Pencarian Manual'!D14</f>
        <v>Which has higher unemployment: Spain or Italy in 2022?</v>
      </c>
      <c r="C15" s="37" t="str">
        <f>'Pencarian Manual'!G14</f>
        <v>Kedua nilai berdampingan dan negara dengan angka lebih tinggi.</v>
      </c>
      <c r="D15" s="68" t="str">
        <f>'Pencarian Manual'!I14</f>
        <v>Spain
in 2022: 8.1% in Italy and 15% In Spain</v>
      </c>
      <c r="E15" s="42" t="str">
        <f>IF('Pencarian Manual'!J14="","",'Pencarian Manual'!J14)</f>
        <v/>
      </c>
      <c r="F15" s="42" t="str">
        <f>IF('Pencarian Manual'!L14="","",'Pencarian Manual'!L14)</f>
        <v/>
      </c>
      <c r="G15" s="63" t="s">
        <v>208</v>
      </c>
      <c r="H15" s="66" t="s">
        <v>146</v>
      </c>
      <c r="I15" s="48" t="s">
        <v>108</v>
      </c>
      <c r="J15" s="71" t="s">
        <v>210</v>
      </c>
    </row>
    <row r="16" ht="120.75" customHeight="1">
      <c r="A16" s="52" t="str">
        <f>'Pencarian Manual'!A15</f>
        <v>ILO-11</v>
      </c>
      <c r="B16" s="37" t="str">
        <f>'Pencarian Manual'!D15</f>
        <v>Compare unemployment trends in France and Germany from 2015 to 2023</v>
      </c>
      <c r="C16" s="37" t="str">
        <f>'Pencarian Manual'!G15</f>
        <v>Kedua seri, arah tren masing-masing, dan peringatan break bila ada.</v>
      </c>
      <c r="D16" s="68" t="str">
        <f>'Pencarian Manual'!I15</f>
        <v>Both France and Germany experienced an overall decline in unemployment rates between 2015 and 2023, but Germany consistently recorded a substantially lower unemployment rate throughout the period.</v>
      </c>
      <c r="E16" s="42" t="str">
        <f>IF('Pencarian Manual'!J15="","",'Pencarian Manual'!J15)</f>
        <v/>
      </c>
      <c r="F16" s="42" t="str">
        <f>IF('Pencarian Manual'!L15="","",'Pencarian Manual'!L15)</f>
        <v>2015-2023</v>
      </c>
      <c r="G16" s="63" t="s">
        <v>213</v>
      </c>
      <c r="H16" s="47" t="s">
        <v>77</v>
      </c>
      <c r="I16" s="48" t="s">
        <v>215</v>
      </c>
      <c r="J16" s="72"/>
    </row>
    <row r="17" ht="120.75" customHeight="1">
      <c r="A17" s="52" t="str">
        <f>'Pencarian Manual'!A16</f>
        <v>ILO-12</v>
      </c>
      <c r="B17" s="37" t="str">
        <f>'Pencarian Manual'!D16</f>
        <v>Which improved more: Brazil or Argentina?</v>
      </c>
      <c r="C17" s="37" t="str">
        <f>'Pencarian Manual'!G16</f>
        <v>Perubahan kedua negara pada periode yang disepakati dan kesimpulan komparatif.</v>
      </c>
      <c r="D17" s="68" t="str">
        <f>'Pencarian Manual'!I16</f>
        <v>Brazil improved more, with a 7.0 percentage-point reduction in unemployment compared with 0.9 percentage points for Argentina.</v>
      </c>
      <c r="E17" s="42" t="str">
        <f>IF('Pencarian Manual'!J16="","",'Pencarian Manual'!J16)</f>
        <v/>
      </c>
      <c r="F17" s="42" t="str">
        <f>IF('Pencarian Manual'!L16="","",'Pencarian Manual'!L16)</f>
        <v>2015-2025</v>
      </c>
      <c r="G17" s="63" t="s">
        <v>223</v>
      </c>
      <c r="H17" s="66" t="s">
        <v>146</v>
      </c>
      <c r="I17" s="48" t="s">
        <v>147</v>
      </c>
      <c r="J17" s="71" t="s">
        <v>225</v>
      </c>
    </row>
    <row r="18" ht="54.0" customHeight="1">
      <c r="A18" s="52" t="str">
        <f>'Pencarian Manual'!A17</f>
        <v>ILO-13</v>
      </c>
      <c r="B18" s="37" t="str">
        <f>'Pencarian Manual'!D17</f>
        <v>Does ILOSTAT have unemployment data for Yemen?</v>
      </c>
      <c r="C18" s="37" t="str">
        <f>'Pencarian Manual'!G17</f>
        <v>Membedakan data survei nasional dan modelled estimates/imputed.</v>
      </c>
      <c r="D18" s="68" t="str">
        <f>'Pencarian Manual'!I17</f>
        <v>YES.     for unemployment indicators available from 1977-2014 with different methods</v>
      </c>
      <c r="E18" s="42" t="str">
        <f>IF('Pencarian Manual'!J17="","",'Pencarian Manual'!J17)</f>
        <v/>
      </c>
      <c r="F18" s="42" t="str">
        <f>IF('Pencarian Manual'!L17="","",'Pencarian Manual'!L17)</f>
        <v/>
      </c>
      <c r="G18" s="63" t="s">
        <v>227</v>
      </c>
      <c r="H18" s="47" t="s">
        <v>77</v>
      </c>
      <c r="I18" s="48" t="s">
        <v>119</v>
      </c>
      <c r="J18" s="72"/>
    </row>
    <row r="19" ht="54.0" customHeight="1">
      <c r="A19" s="52" t="str">
        <f>'Pencarian Manual'!A18</f>
        <v>ILO-14</v>
      </c>
      <c r="B19" s="37" t="str">
        <f>'Pencarian Manual'!D18</f>
        <v>What's the most recent unemployment data for Singapore?</v>
      </c>
      <c r="C19" s="37" t="str">
        <f>'Pencarian Manual'!G18</f>
        <v>Tahun dan nilai paling mutakhir.</v>
      </c>
      <c r="D19" s="45">
        <f>'Pencarian Manual'!I18</f>
        <v>0.033</v>
      </c>
      <c r="E19" s="42" t="str">
        <f>IF('Pencarian Manual'!J18="","",'Pencarian Manual'!J18)</f>
        <v/>
      </c>
      <c r="F19" s="42">
        <f>IF('Pencarian Manual'!L18="","",'Pencarian Manual'!L18)</f>
        <v>2025</v>
      </c>
      <c r="G19" s="63" t="s">
        <v>232</v>
      </c>
      <c r="H19" s="47" t="s">
        <v>77</v>
      </c>
      <c r="I19" s="48" t="s">
        <v>233</v>
      </c>
      <c r="J19" s="72"/>
    </row>
    <row r="20" ht="54.0" customHeight="1">
      <c r="A20" s="52" t="str">
        <f>'Pencarian Manual'!A19</f>
        <v>ILO-15</v>
      </c>
      <c r="B20" s="37" t="str">
        <f>'Pencarian Manual'!D19</f>
        <v>What was the average monthly wage in Singapore in 2021?</v>
      </c>
      <c r="C20" s="37" t="str">
        <f>'Pencarian Manual'!G19</f>
        <v>Satu angka dalam SGD; tahun dan sumber survei dikonfirmasi.</v>
      </c>
      <c r="D20" s="68" t="str">
        <f>'Pencarian Manual'!I19</f>
        <v>3483.5 USD</v>
      </c>
      <c r="E20" s="42" t="str">
        <f>IF('Pencarian Manual'!J19="","",'Pencarian Manual'!J19)</f>
        <v/>
      </c>
      <c r="F20" s="42">
        <f>IF('Pencarian Manual'!L19="","",'Pencarian Manual'!L19)</f>
        <v>2021</v>
      </c>
      <c r="G20" s="63" t="s">
        <v>240</v>
      </c>
      <c r="H20" s="47" t="s">
        <v>77</v>
      </c>
      <c r="I20" s="48" t="s">
        <v>233</v>
      </c>
      <c r="J20" s="72"/>
    </row>
    <row r="21" ht="54.0" customHeight="1">
      <c r="A21" s="52" t="str">
        <f>'Pencarian Manual'!A20</f>
        <v>ILO-16</v>
      </c>
      <c r="B21" s="37" t="str">
        <f>'Pencarian Manual'!D20</f>
        <v>What did workers earn on average in Germany in 2022?</v>
      </c>
      <c r="C21" s="37" t="str">
        <f>'Pencarian Manual'!G20</f>
        <v>Rata-rata upah bulanan dalam EUR dan sumber survei.</v>
      </c>
      <c r="D21" s="68" t="str">
        <f>'Pencarian Manual'!I20</f>
        <v>4412,7 EUR</v>
      </c>
      <c r="E21" s="42" t="str">
        <f>IF('Pencarian Manual'!J20="","",'Pencarian Manual'!J20)</f>
        <v/>
      </c>
      <c r="F21" s="42">
        <f>IF('Pencarian Manual'!L20="","",'Pencarian Manual'!L20)</f>
        <v>2022</v>
      </c>
      <c r="G21" s="63" t="s">
        <v>243</v>
      </c>
      <c r="H21" s="47" t="s">
        <v>77</v>
      </c>
      <c r="I21" s="48" t="s">
        <v>233</v>
      </c>
      <c r="J21" s="72"/>
    </row>
    <row r="22" ht="54.0" customHeight="1">
      <c r="A22" s="52" t="str">
        <f>'Pencarian Manual'!A21</f>
        <v>ILO-17</v>
      </c>
      <c r="B22" s="37" t="str">
        <f>'Pencarian Manual'!D21</f>
        <v>What is France's average monthly wage?</v>
      </c>
      <c r="C22" s="37" t="str">
        <f>'Pencarian Manual'!G21</f>
        <v>Nilai terbaru dalam EUR dan tahun dinyatakan eksplisit.</v>
      </c>
      <c r="D22" s="68" t="str">
        <f>'Pencarian Manual'!I21</f>
        <v>4445.6 EUR</v>
      </c>
      <c r="E22" s="42" t="str">
        <f>IF('Pencarian Manual'!J21="","",'Pencarian Manual'!J21)</f>
        <v/>
      </c>
      <c r="F22" s="42">
        <f>IF('Pencarian Manual'!L21="","",'Pencarian Manual'!L21)</f>
        <v>2025</v>
      </c>
      <c r="G22" s="63" t="s">
        <v>249</v>
      </c>
      <c r="H22" s="47" t="s">
        <v>77</v>
      </c>
      <c r="I22" s="48" t="s">
        <v>108</v>
      </c>
      <c r="J22" s="72"/>
    </row>
    <row r="23" ht="54.0" customHeight="1">
      <c r="A23" s="52" t="str">
        <f>'Pencarian Manual'!A22</f>
        <v>ILO-18</v>
      </c>
      <c r="B23" s="37" t="str">
        <f>'Pencarian Manual'!D22</f>
        <v>Show me Thailand's wage data from 2014 to 2022</v>
      </c>
      <c r="C23" s="37" t="str">
        <f>'Pencarian Manual'!G22</f>
        <v>Seri tahunan dalam THB serta peringatan break metodologi.</v>
      </c>
      <c r="D23" s="68" t="str">
        <f>'Pencarian Manual'!I22</f>
        <v>ILOSTAT Data Explorer
Reference area        Source        Sex        Currency        Year        Value
Thailand        LFS - Labour Force Survey        Total        U.S. dollars        2022        467.3
Thailand        LFS - Labour Force Survey        Total        U.S. dollars        2021        485.8
Thailand        LFS - Labour Force Survey        Total        U.S. dollars        2020        490.3
Thailand        LFS - Labour Force Survey        Total        U.S. dollars        2019        487.3
Thailand        LFS - Labour Force Survey        Total        U.S. dollars        2018        461.9
Thailand        LFS - Labour Force Survey        Total        U.S. dollars        2017        434.4
Thailand        LFS - Labour Force Survey        Total        U.S. dollars        2016        417.4
Thailand        LFS - Labour Force Survey        Total        U.S. dollars        2015        324.3
Thailand        LFS - Labour Force Survey        Total        U.S. dollars        2014        437.8</v>
      </c>
      <c r="E23" s="42" t="str">
        <f>IF('Pencarian Manual'!J22="","",'Pencarian Manual'!J22)</f>
        <v/>
      </c>
      <c r="F23" s="42" t="str">
        <f>IF('Pencarian Manual'!L22="","",'Pencarian Manual'!L22)</f>
        <v>2014-2022</v>
      </c>
      <c r="G23" s="63" t="s">
        <v>254</v>
      </c>
      <c r="H23" s="47" t="s">
        <v>77</v>
      </c>
      <c r="I23" s="48" t="s">
        <v>233</v>
      </c>
      <c r="J23" s="71" t="s">
        <v>255</v>
      </c>
    </row>
    <row r="24" ht="54.0" customHeight="1">
      <c r="A24" s="52" t="str">
        <f>'Pencarian Manual'!A23</f>
        <v>ILO-19</v>
      </c>
      <c r="B24" s="37" t="str">
        <f>'Pencarian Manual'!D23</f>
        <v>How have wages changed in Pakistan over the last decade?</v>
      </c>
      <c r="C24" s="37" t="str">
        <f>'Pencarian Manual'!G23</f>
        <v>Seri tahunan dan peringatan untuk beberapa methodology breaks.</v>
      </c>
      <c r="D24" s="68" t="str">
        <f>'Pencarian Manual'!I23</f>
        <v>Pakistan's wage indicator shows a fairly volatile pattern over 2014–2024 rather than a steady upward  Pakistan's wage indicator rose strongly from 2014 to 2017, fell for three consecutive years through 2020, partially recovered, and ended 2024 well above its 2014 level but still below its 2017 peak.</v>
      </c>
      <c r="E24" s="42" t="str">
        <f>IF('Pencarian Manual'!J23="","",'Pencarian Manual'!J23)</f>
        <v/>
      </c>
      <c r="F24" s="42" t="str">
        <f>IF('Pencarian Manual'!L23="","",'Pencarian Manual'!L23)</f>
        <v>2014-2024</v>
      </c>
      <c r="G24" s="63" t="s">
        <v>261</v>
      </c>
      <c r="H24" s="66" t="s">
        <v>146</v>
      </c>
      <c r="I24" s="48" t="s">
        <v>108</v>
      </c>
      <c r="J24" s="71" t="s">
        <v>262</v>
      </c>
    </row>
    <row r="25" ht="54.0" customHeight="1">
      <c r="A25" s="52" t="str">
        <f>'Pencarian Manual'!A24</f>
        <v>ILO-20</v>
      </c>
      <c r="B25" s="37" t="str">
        <f>'Pencarian Manual'!D24</f>
        <v>What's been happening to wages in Vietnam since 2018?</v>
      </c>
      <c r="C25" s="37" t="str">
        <f>'Pencarian Manual'!G24</f>
        <v>Seri tahunan dari 2018 sampai terbaru dan status break.</v>
      </c>
      <c r="D25" s="68" t="str">
        <f>'Pencarian Manual'!I24</f>
        <v>Overall change, 2018–2024: +39.3%, from $254.9 to $355.0.
What stands out
1. Strong pre-COVID growth (2018–2019).
Wages jumped from $254.9 to $288.3, an increase of about 13% in one year.
2. COVID caused a temporary interruption, not a prolonged decline.
The wage level still increased slightly in 2020, then slipped 1.7% in 2021. This is the only year in the series with a decline.
3. A clear post-COVID acceleration.
From 2021 onward, wages increased every year: $291.3 → $320.6 → $330.2 → $355.0. By 2024, the wage level was about 22% higher than in 2021.
4. 2024 is the strongest point in the series.
At $355, Vietnam's reported wage level was approximately 39% above 2018.
One important methodological point: this is the ILOSTAT LFS earnings series, rather than a statutory minimum-wage series. ILOSTAT distinguishes average employee earnings from statutory minimum wages and provides the former by sex, currency, economic activity, occupation, etc. Vietnam's underlying Labour Force Survey is conducted as a national sample survey and is specifically used to compile indicators on workers' earnings.</v>
      </c>
      <c r="E25" s="42" t="str">
        <f>IF('Pencarian Manual'!J24="","",'Pencarian Manual'!J24)</f>
        <v/>
      </c>
      <c r="F25" s="42" t="str">
        <f>IF('Pencarian Manual'!L24="","",'Pencarian Manual'!L24)</f>
        <v>2018-2024</v>
      </c>
      <c r="G25" s="63" t="s">
        <v>265</v>
      </c>
      <c r="H25" s="47" t="s">
        <v>77</v>
      </c>
      <c r="I25" s="48" t="s">
        <v>233</v>
      </c>
      <c r="J25" s="72"/>
    </row>
    <row r="26" ht="54.0" customHeight="1">
      <c r="A26" s="52" t="str">
        <f>'Pencarian Manual'!A25</f>
        <v>ILO-21</v>
      </c>
      <c r="B26" s="37" t="str">
        <f>'Pencarian Manual'!D25</f>
        <v>How much did wages grow in France from 2019 to 2025?</v>
      </c>
      <c r="C26" s="37" t="str">
        <f>'Pencarian Manual'!G25</f>
        <v>Persentase perubahan dan kedua nilai endpoint.</v>
      </c>
      <c r="D26" s="68" t="str">
        <f>'Pencarian Manual'!I25</f>
        <v>Using the ILOSTAT figures , France's wage series rose from US$2,223.6 in 2019 to US$2,378.0 in 2024.
However, there is an important issue with the 2025 figure of US$5,023.6: it comes from a different source and potentially a different wage concept — HIES (EU-SILC) rather than the LFS Employment Survey. I would not combine the 2025 figure with the 2019–2024 LFS series to calculate wage growth. ILOSTAT has multiple earnings tables and source types, so consistency of the series matters</v>
      </c>
      <c r="E26" s="42" t="str">
        <f>IF('Pencarian Manual'!J25="","",'Pencarian Manual'!J25)</f>
        <v/>
      </c>
      <c r="F26" s="42" t="str">
        <f>IF('Pencarian Manual'!L25="","",'Pencarian Manual'!L25)</f>
        <v>2019-2025</v>
      </c>
      <c r="G26" s="63" t="s">
        <v>271</v>
      </c>
      <c r="H26" s="66" t="s">
        <v>146</v>
      </c>
      <c r="I26" s="48" t="s">
        <v>108</v>
      </c>
      <c r="J26" s="72"/>
    </row>
    <row r="27" ht="54.0" customHeight="1">
      <c r="A27" s="52" t="str">
        <f>'Pencarian Manual'!A26</f>
        <v>ILO-22</v>
      </c>
      <c r="B27" s="37" t="str">
        <f>'Pencarian Manual'!D26</f>
        <v>What's the CAGR of wages in Germany from 2015 to 2022?</v>
      </c>
      <c r="C27" s="37" t="str">
        <f>'Pencarian Manual'!G26</f>
        <v>CAGR dan peringatan bila ada perubahan metodologi dalam rentang.</v>
      </c>
      <c r="D27" s="68" t="str">
        <f>'Pencarian Manual'!I26</f>
        <v>Germany's wage CAGR from 2015 to 2022 was approximately 6.04% per year.</v>
      </c>
      <c r="E27" s="42" t="str">
        <f>IF('Pencarian Manual'!J26="","",'Pencarian Manual'!J26)</f>
        <v/>
      </c>
      <c r="F27" s="42" t="str">
        <f>IF('Pencarian Manual'!L26="","",'Pencarian Manual'!L26)</f>
        <v>2015-2022</v>
      </c>
      <c r="G27" s="63" t="s">
        <v>278</v>
      </c>
      <c r="H27" s="47" t="s">
        <v>77</v>
      </c>
      <c r="I27" s="48" t="s">
        <v>279</v>
      </c>
      <c r="J27" s="71" t="s">
        <v>281</v>
      </c>
    </row>
    <row r="28" ht="54.0" customHeight="1">
      <c r="A28" s="52" t="str">
        <f>'Pencarian Manual'!A27</f>
        <v>ILO-23</v>
      </c>
      <c r="B28" s="37" t="str">
        <f>'Pencarian Manual'!D27</f>
        <v>Are wages in Singapore growing or declining?</v>
      </c>
      <c r="C28" s="37" t="str">
        <f>'Pencarian Manual'!G27</f>
        <v>Arah tren, slope, dan kualitas fit.</v>
      </c>
      <c r="D28" s="68" t="str">
        <f>'Pencarian Manual'!I27</f>
        <v>Singapore's wages have been on a clear upward trajectory, with COVID producing only a temporary dip rather than a structural decline.</v>
      </c>
      <c r="E28" s="42" t="str">
        <f>IF('Pencarian Manual'!J27="","",'Pencarian Manual'!J27)</f>
        <v/>
      </c>
      <c r="F28" s="42" t="str">
        <f>IF('Pencarian Manual'!L27="","",'Pencarian Manual'!L27)</f>
        <v>2010-2021</v>
      </c>
      <c r="G28" s="63" t="s">
        <v>284</v>
      </c>
      <c r="H28" s="47" t="s">
        <v>77</v>
      </c>
      <c r="I28" s="48" t="s">
        <v>286</v>
      </c>
      <c r="J28" s="72"/>
    </row>
    <row r="29" ht="54.0" customHeight="1">
      <c r="A29" s="52" t="str">
        <f>'Pencarian Manual'!A28</f>
        <v>ILO-24</v>
      </c>
      <c r="B29" s="37" t="str">
        <f>'Pencarian Manual'!D28</f>
        <v>Who pays more: France or Germany?</v>
      </c>
      <c r="C29" s="37" t="str">
        <f>'Pencarian Manual'!G28</f>
        <v>Nilai terbaru kedua negara dalam mata uang lokal.</v>
      </c>
      <c r="D29" s="68" t="str">
        <f>'Pencarian Manual'!I28</f>
        <v>Berdasarkan data ILOSTAT yang tersedia, **belum bisa ditentukan apakah Jerman atau Prancis membayar lebih tinggi** karena data HIES keduanya berasal dari tahun yang berbeda (Jerman 2022 vs Prancis 2025).
</v>
      </c>
      <c r="E29" s="42" t="str">
        <f>IF('Pencarian Manual'!J28="","",'Pencarian Manual'!J28)</f>
        <v/>
      </c>
      <c r="F29" s="42" t="str">
        <f>IF('Pencarian Manual'!L28="","",'Pencarian Manual'!L28)</f>
        <v/>
      </c>
      <c r="G29" s="63" t="s">
        <v>291</v>
      </c>
      <c r="H29" s="47" t="s">
        <v>77</v>
      </c>
      <c r="I29" s="48" t="s">
        <v>108</v>
      </c>
      <c r="J29" s="72"/>
    </row>
    <row r="30" ht="54.0" customHeight="1">
      <c r="A30" s="52" t="str">
        <f>'Pencarian Manual'!A29</f>
        <v>ILO-25</v>
      </c>
      <c r="B30" s="37" t="str">
        <f>'Pencarian Manual'!D29</f>
        <v>Which had higher wage growth 2015-2025: Thailand or Vietnam?</v>
      </c>
      <c r="C30" s="37" t="str">
        <f>'Pencarian Manual'!G29</f>
        <v>Perubahan kedua negara, break warning, dan kesimpulan.</v>
      </c>
      <c r="D30" s="68" t="str">
        <f>'Pencarian Manual'!I29</f>
        <v>**Thailand had higher wage growth from 2015 to 2025**: Thailand increased from **US$324.3 to US$507.8 (+56.6%)**, while Vietnam increased from **US$235.1 to US$355.0 (+51.0%)**.
</v>
      </c>
      <c r="E30" s="42" t="str">
        <f>IF('Pencarian Manual'!J29="","",'Pencarian Manual'!J29)</f>
        <v/>
      </c>
      <c r="F30" s="42" t="str">
        <f>IF('Pencarian Manual'!L29="","",'Pencarian Manual'!L29)</f>
        <v>2015-2025</v>
      </c>
      <c r="G30" s="63" t="s">
        <v>296</v>
      </c>
      <c r="H30" s="66" t="s">
        <v>146</v>
      </c>
      <c r="I30" s="48" t="s">
        <v>298</v>
      </c>
      <c r="J30" s="71" t="s">
        <v>299</v>
      </c>
    </row>
    <row r="31" ht="55.5" customHeight="1">
      <c r="A31" s="52" t="str">
        <f>'Pencarian Manual'!A30</f>
        <v>ILO-26</v>
      </c>
      <c r="B31" s="37" t="str">
        <f>'Pencarian Manual'!D30</f>
        <v>Compare wages in Singapore and Malaysia</v>
      </c>
      <c r="C31" s="37" t="str">
        <f>'Pencarian Manual'!G30</f>
        <v>Nilai terbaru dalam mata uang lokal dan tahun masing-masing.</v>
      </c>
      <c r="D31" s="68" t="str">
        <f>'Pencarian Manual'!I30</f>
        <v>Singapore: US$2,583.1 (2011) → US$3,483.5 (2021), +34.9%
Malaysia: US$591.2 (2011) → US$697.8 (2020), +18.0%
Comparison: Singapore wages were consistently much higher—about 5× Malaysia’s level in the latest available years (US$3,483.5 vs. US$697.8), while Singapore also recorded stronger wage growth over the period.</v>
      </c>
      <c r="E31" s="42" t="str">
        <f>IF('Pencarian Manual'!J30="","",'Pencarian Manual'!J30)</f>
        <v/>
      </c>
      <c r="F31" s="42" t="str">
        <f>IF('Pencarian Manual'!L30="","",'Pencarian Manual'!L30)</f>
        <v>2011-2020</v>
      </c>
      <c r="G31" s="63" t="s">
        <v>304</v>
      </c>
      <c r="H31" s="47" t="s">
        <v>77</v>
      </c>
      <c r="I31" s="48" t="s">
        <v>147</v>
      </c>
      <c r="J31" s="72"/>
    </row>
    <row r="32" ht="54.0" customHeight="1">
      <c r="A32" s="52" t="str">
        <f>'Pencarian Manual'!A31</f>
        <v>ILO-27</v>
      </c>
      <c r="B32" s="37" t="str">
        <f>'Pencarian Manual'!D31</f>
        <v>Does ILOSTAT have wage data for Georgia?</v>
      </c>
      <c r="C32" s="37" t="str">
        <f>'Pencarian Manual'!G31</f>
        <v>Ketersediaan data upah; memastikan Georgia adalah negara.</v>
      </c>
      <c r="D32" s="68" t="str">
        <f>'Pencarian Manual'!I31</f>
        <v>yes</v>
      </c>
      <c r="E32" s="42" t="str">
        <f>IF('Pencarian Manual'!J31="","",'Pencarian Manual'!J31)</f>
        <v/>
      </c>
      <c r="F32" s="42" t="str">
        <f>IF('Pencarian Manual'!L31="","",'Pencarian Manual'!L31)</f>
        <v/>
      </c>
      <c r="G32" s="63" t="s">
        <v>309</v>
      </c>
      <c r="H32" s="47" t="s">
        <v>77</v>
      </c>
      <c r="I32" s="48" t="s">
        <v>310</v>
      </c>
      <c r="J32" s="72"/>
    </row>
    <row r="33" ht="54.0" customHeight="1">
      <c r="A33" s="52" t="str">
        <f>'Pencarian Manual'!A32</f>
        <v>ILO-28</v>
      </c>
      <c r="B33" s="37" t="str">
        <f>'Pencarian Manual'!D32</f>
        <v>What was South Africa's youth unemployment in 2021?</v>
      </c>
      <c r="C33" s="37" t="str">
        <f>'Pencarian Manual'!G32</f>
        <v>Angka 2021 dan penjelasan band usia aktual 15-29.</v>
      </c>
      <c r="D33" s="68" t="str">
        <f>'Pencarian Manual'!I32</f>
        <v>32.9% in total</v>
      </c>
      <c r="E33" s="42" t="str">
        <f>IF('Pencarian Manual'!J32="","",'Pencarian Manual'!J32)</f>
        <v/>
      </c>
      <c r="F33" s="42">
        <f>IF('Pencarian Manual'!L32="","",'Pencarian Manual'!L32)</f>
        <v>2021</v>
      </c>
      <c r="G33" s="63" t="s">
        <v>314</v>
      </c>
      <c r="H33" s="66" t="s">
        <v>169</v>
      </c>
      <c r="I33" s="48" t="s">
        <v>315</v>
      </c>
      <c r="J33" s="72"/>
    </row>
    <row r="34" ht="54.0" customHeight="1">
      <c r="A34" s="52" t="str">
        <f>'Pencarian Manual'!A33</f>
        <v>ILO-29</v>
      </c>
      <c r="B34" s="37" t="str">
        <f>'Pencarian Manual'!D33</f>
        <v>How has youth unemployment changed in South Africa over the past 5 years?</v>
      </c>
      <c r="C34" s="37" t="str">
        <f>'Pencarian Manual'!G33</f>
        <v>Seri tahunan serta band usia 15-29 dinyatakan sekali.</v>
      </c>
      <c r="D34" s="68" t="str">
        <f>'Pencarian Manual'!I33</f>
        <v>South Africa has not made sustained progress in reducing youth unemployment. After hovering around 32–33% in 2019–2021, the rate rose sharply to 35.2% in 2022 and, despite a modest improvement in 2023, remained elevated at 34.6% in 2024.</v>
      </c>
      <c r="E34" s="42" t="str">
        <f>IF('Pencarian Manual'!J33="","",'Pencarian Manual'!J33)</f>
        <v/>
      </c>
      <c r="F34" s="42" t="str">
        <f>IF('Pencarian Manual'!L33="","",'Pencarian Manual'!L33)</f>
        <v>2018-2024</v>
      </c>
      <c r="G34" s="63" t="s">
        <v>320</v>
      </c>
      <c r="H34" s="75" t="s">
        <v>178</v>
      </c>
      <c r="I34" s="48" t="s">
        <v>322</v>
      </c>
      <c r="J34" s="72"/>
    </row>
    <row r="35" ht="54.0" customHeight="1">
      <c r="A35" s="52" t="str">
        <f>'Pencarian Manual'!A34</f>
        <v>ILO-30</v>
      </c>
      <c r="B35" s="37" t="str">
        <f>'Pencarian Manual'!D34</f>
        <v>Give me a labour market snapshot for Malaysia</v>
      </c>
      <c r="C35" s="37" t="str">
        <f>'Pencarian Manual'!G34</f>
        <v>Unemployment terbaru dan YoY, tren upah 5 tahun, serta caveat metodologi.</v>
      </c>
      <c r="D35" s="68" t="str">
        <f>'Pencarian Manual'!I34</f>
        <v>Malaysia’s labour market has strengthened significantly in recent years, with the **overall unemployment rate falling to 3.2% in 2024**, below the 3.3% recorded in 2019, while **labour-force participation rose to 70.6%**. Employment reached around **16.4 million people**, with **services accounting for 65.6%** of total employment, followed by manufacturing (16.3%), agriculture (9.0%), and construction (8.5%). Labour demand also remained strong, with around **193,600 vacancies** recorded in Q4 2024, particularly concentrated in manufacturing. Youth unemployment, while still higher than the overall rate, has improved over the longer term, declining from **14.4% in 2011 to 10.2% in 2022**, after a temporary pandemic-related spike to 13.6% in 2020. Overall, Malaysia's labour market is characterized by **low unemployment, rising participation, and strong labour demand**, although **youth employment, female participation, and skills mismatch** remain key structural challenges.
</v>
      </c>
      <c r="E35" s="42" t="str">
        <f>IF('Pencarian Manual'!J34="","",'Pencarian Manual'!J34)</f>
        <v/>
      </c>
      <c r="F35" s="42" t="str">
        <f>IF('Pencarian Manual'!L34="","",'Pencarian Manual'!L34)</f>
        <v/>
      </c>
      <c r="G35" s="63" t="s">
        <v>328</v>
      </c>
      <c r="H35" s="47" t="s">
        <v>146</v>
      </c>
      <c r="I35" s="48" t="s">
        <v>329</v>
      </c>
      <c r="J35" s="71" t="s">
        <v>331</v>
      </c>
    </row>
    <row r="36" ht="15.75" customHeight="1">
      <c r="D36" s="76"/>
      <c r="E36" s="76"/>
      <c r="F36" s="76"/>
    </row>
    <row r="37" ht="15.75" customHeight="1">
      <c r="D37" s="76"/>
      <c r="E37" s="76"/>
      <c r="F37" s="76"/>
    </row>
    <row r="38" ht="15.75" customHeight="1">
      <c r="D38" s="76"/>
      <c r="E38" s="76"/>
      <c r="F38" s="76"/>
    </row>
    <row r="39" ht="15.75" customHeight="1">
      <c r="D39" s="76"/>
      <c r="E39" s="76"/>
      <c r="F39" s="76"/>
    </row>
    <row r="40" ht="15.75" customHeight="1">
      <c r="D40" s="76"/>
      <c r="E40" s="76"/>
      <c r="F40" s="76"/>
    </row>
    <row r="41" ht="15.75" customHeight="1">
      <c r="D41" s="76"/>
      <c r="E41" s="76"/>
      <c r="F41" s="76"/>
    </row>
    <row r="42" ht="15.75" customHeight="1">
      <c r="D42" s="76"/>
      <c r="E42" s="76"/>
      <c r="F42" s="76"/>
    </row>
    <row r="43" ht="15.75" customHeight="1">
      <c r="D43" s="76"/>
      <c r="E43" s="76"/>
      <c r="F43" s="76"/>
    </row>
    <row r="44" ht="15.75" customHeight="1">
      <c r="D44" s="76"/>
      <c r="E44" s="76"/>
      <c r="F44" s="76"/>
    </row>
    <row r="45" ht="15.75" customHeight="1">
      <c r="D45" s="76"/>
      <c r="E45" s="76"/>
      <c r="F45" s="76"/>
    </row>
    <row r="46" ht="15.75" customHeight="1">
      <c r="D46" s="76"/>
      <c r="E46" s="76"/>
      <c r="F46" s="76"/>
    </row>
    <row r="47" ht="15.75" customHeight="1">
      <c r="D47" s="76"/>
      <c r="E47" s="76"/>
      <c r="F47" s="76"/>
    </row>
    <row r="48" ht="15.75" customHeight="1">
      <c r="D48" s="76"/>
      <c r="E48" s="76"/>
      <c r="F48" s="76"/>
    </row>
    <row r="49" ht="15.75" customHeight="1">
      <c r="D49" s="76"/>
      <c r="E49" s="76"/>
      <c r="F49" s="76"/>
    </row>
    <row r="50" ht="15.75" customHeight="1">
      <c r="D50" s="76"/>
      <c r="E50" s="76"/>
      <c r="F50" s="76"/>
    </row>
    <row r="51" ht="15.75" customHeight="1">
      <c r="D51" s="76"/>
      <c r="E51" s="76"/>
      <c r="F51" s="76"/>
    </row>
    <row r="52" ht="15.75" customHeight="1">
      <c r="D52" s="76"/>
      <c r="E52" s="76"/>
      <c r="F52" s="76"/>
    </row>
    <row r="53" ht="15.75" customHeight="1">
      <c r="D53" s="76"/>
      <c r="E53" s="76"/>
      <c r="F53" s="76"/>
    </row>
    <row r="54" ht="15.75" customHeight="1">
      <c r="D54" s="76"/>
      <c r="E54" s="76"/>
      <c r="F54" s="76"/>
    </row>
    <row r="55" ht="15.75" customHeight="1">
      <c r="D55" s="76"/>
      <c r="E55" s="76"/>
      <c r="F55" s="76"/>
    </row>
    <row r="56" ht="15.75" customHeight="1">
      <c r="D56" s="76"/>
      <c r="E56" s="76"/>
      <c r="F56" s="76"/>
    </row>
    <row r="57" ht="15.75" customHeight="1">
      <c r="D57" s="76"/>
      <c r="E57" s="76"/>
      <c r="F57" s="76"/>
    </row>
    <row r="58" ht="15.75" customHeight="1">
      <c r="D58" s="76"/>
      <c r="E58" s="76"/>
      <c r="F58" s="76"/>
    </row>
    <row r="59" ht="15.75" customHeight="1">
      <c r="D59" s="76"/>
      <c r="E59" s="76"/>
      <c r="F59" s="76"/>
    </row>
    <row r="60" ht="15.75" customHeight="1">
      <c r="D60" s="76"/>
      <c r="E60" s="76"/>
      <c r="F60" s="76"/>
    </row>
    <row r="61" ht="15.75" customHeight="1">
      <c r="D61" s="76"/>
      <c r="E61" s="76"/>
      <c r="F61" s="76"/>
    </row>
    <row r="62" ht="15.75" customHeight="1">
      <c r="D62" s="76"/>
      <c r="E62" s="76"/>
      <c r="F62" s="76"/>
    </row>
    <row r="63" ht="15.75" customHeight="1">
      <c r="D63" s="76"/>
      <c r="E63" s="76"/>
      <c r="F63" s="76"/>
    </row>
    <row r="64" ht="15.75" customHeight="1">
      <c r="D64" s="76"/>
      <c r="E64" s="76"/>
      <c r="F64" s="76"/>
    </row>
    <row r="65" ht="15.75" customHeight="1">
      <c r="D65" s="76"/>
      <c r="E65" s="76"/>
      <c r="F65" s="76"/>
    </row>
    <row r="66" ht="15.75" customHeight="1">
      <c r="D66" s="76"/>
      <c r="E66" s="76"/>
      <c r="F66" s="76"/>
    </row>
    <row r="67" ht="15.75" customHeight="1">
      <c r="D67" s="76"/>
      <c r="E67" s="76"/>
      <c r="F67" s="76"/>
    </row>
    <row r="68" ht="15.75" customHeight="1">
      <c r="D68" s="76"/>
      <c r="E68" s="76"/>
      <c r="F68" s="76"/>
    </row>
    <row r="69" ht="15.75" customHeight="1">
      <c r="D69" s="76"/>
      <c r="E69" s="76"/>
      <c r="F69" s="76"/>
    </row>
    <row r="70" ht="15.75" customHeight="1">
      <c r="D70" s="76"/>
      <c r="E70" s="76"/>
      <c r="F70" s="76"/>
    </row>
    <row r="71" ht="15.75" customHeight="1">
      <c r="D71" s="76"/>
      <c r="E71" s="76"/>
      <c r="F71" s="76"/>
    </row>
    <row r="72" ht="15.75" customHeight="1">
      <c r="D72" s="76"/>
      <c r="E72" s="76"/>
      <c r="F72" s="76"/>
    </row>
    <row r="73" ht="15.75" customHeight="1">
      <c r="D73" s="76"/>
      <c r="E73" s="76"/>
      <c r="F73" s="76"/>
    </row>
    <row r="74" ht="15.75" customHeight="1">
      <c r="D74" s="76"/>
      <c r="E74" s="76"/>
      <c r="F74" s="76"/>
    </row>
    <row r="75" ht="15.75" customHeight="1">
      <c r="D75" s="76"/>
      <c r="E75" s="76"/>
      <c r="F75" s="76"/>
    </row>
    <row r="76" ht="15.75" customHeight="1">
      <c r="D76" s="76"/>
      <c r="E76" s="76"/>
      <c r="F76" s="76"/>
    </row>
    <row r="77" ht="15.75" customHeight="1">
      <c r="D77" s="76"/>
      <c r="E77" s="76"/>
      <c r="F77" s="76"/>
    </row>
    <row r="78" ht="15.75" customHeight="1">
      <c r="D78" s="76"/>
      <c r="E78" s="76"/>
      <c r="F78" s="76"/>
    </row>
    <row r="79" ht="15.75" customHeight="1">
      <c r="D79" s="76"/>
      <c r="E79" s="76"/>
      <c r="F79" s="76"/>
    </row>
    <row r="80" ht="15.75" customHeight="1">
      <c r="D80" s="76"/>
      <c r="E80" s="76"/>
      <c r="F80" s="76"/>
    </row>
    <row r="81" ht="15.75" customHeight="1">
      <c r="D81" s="76"/>
      <c r="E81" s="76"/>
      <c r="F81" s="76"/>
    </row>
    <row r="82" ht="15.75" customHeight="1">
      <c r="D82" s="76"/>
      <c r="E82" s="76"/>
      <c r="F82" s="76"/>
    </row>
    <row r="83" ht="15.75" customHeight="1">
      <c r="D83" s="76"/>
      <c r="E83" s="76"/>
      <c r="F83" s="76"/>
    </row>
    <row r="84" ht="15.75" customHeight="1">
      <c r="D84" s="76"/>
      <c r="E84" s="76"/>
      <c r="F84" s="76"/>
    </row>
    <row r="85" ht="15.75" customHeight="1">
      <c r="D85" s="76"/>
      <c r="E85" s="76"/>
      <c r="F85" s="76"/>
    </row>
    <row r="86" ht="15.75" customHeight="1">
      <c r="D86" s="76"/>
      <c r="E86" s="76"/>
      <c r="F86" s="76"/>
    </row>
    <row r="87" ht="15.75" customHeight="1">
      <c r="D87" s="76"/>
      <c r="E87" s="76"/>
      <c r="F87" s="76"/>
    </row>
    <row r="88" ht="15.75" customHeight="1">
      <c r="D88" s="76"/>
      <c r="E88" s="76"/>
      <c r="F88" s="76"/>
    </row>
    <row r="89" ht="15.75" customHeight="1">
      <c r="D89" s="76"/>
      <c r="E89" s="76"/>
      <c r="F89" s="76"/>
    </row>
    <row r="90" ht="15.75" customHeight="1">
      <c r="D90" s="76"/>
      <c r="E90" s="76"/>
      <c r="F90" s="76"/>
    </row>
    <row r="91" ht="15.75" customHeight="1">
      <c r="D91" s="76"/>
      <c r="E91" s="76"/>
      <c r="F91" s="76"/>
    </row>
    <row r="92" ht="15.75" customHeight="1">
      <c r="D92" s="76"/>
      <c r="E92" s="76"/>
      <c r="F92" s="76"/>
    </row>
    <row r="93" ht="15.75" customHeight="1">
      <c r="D93" s="76"/>
      <c r="E93" s="76"/>
      <c r="F93" s="76"/>
    </row>
    <row r="94" ht="15.75" customHeight="1">
      <c r="D94" s="76"/>
      <c r="E94" s="76"/>
      <c r="F94" s="76"/>
    </row>
    <row r="95" ht="15.75" customHeight="1">
      <c r="D95" s="76"/>
      <c r="E95" s="76"/>
      <c r="F95" s="76"/>
    </row>
    <row r="96" ht="15.75" customHeight="1">
      <c r="D96" s="76"/>
      <c r="E96" s="76"/>
      <c r="F96" s="76"/>
    </row>
    <row r="97" ht="15.75" customHeight="1">
      <c r="D97" s="76"/>
      <c r="E97" s="76"/>
      <c r="F97" s="76"/>
    </row>
    <row r="98" ht="15.75" customHeight="1">
      <c r="D98" s="76"/>
      <c r="E98" s="76"/>
      <c r="F98" s="76"/>
    </row>
    <row r="99" ht="15.75" customHeight="1">
      <c r="D99" s="76"/>
      <c r="E99" s="76"/>
      <c r="F99" s="76"/>
    </row>
    <row r="100" ht="15.75" customHeight="1">
      <c r="D100" s="76"/>
      <c r="E100" s="76"/>
      <c r="F100" s="76"/>
    </row>
    <row r="101" ht="15.75" customHeight="1">
      <c r="D101" s="76"/>
      <c r="E101" s="76"/>
      <c r="F101" s="76"/>
    </row>
    <row r="102" ht="15.75" customHeight="1">
      <c r="D102" s="76"/>
      <c r="E102" s="76"/>
      <c r="F102" s="76"/>
    </row>
    <row r="103" ht="15.75" customHeight="1">
      <c r="D103" s="76"/>
      <c r="E103" s="76"/>
      <c r="F103" s="76"/>
    </row>
    <row r="104" ht="15.75" customHeight="1">
      <c r="D104" s="76"/>
      <c r="E104" s="76"/>
      <c r="F104" s="76"/>
    </row>
    <row r="105" ht="15.75" customHeight="1">
      <c r="D105" s="76"/>
      <c r="E105" s="76"/>
      <c r="F105" s="76"/>
    </row>
    <row r="106" ht="15.75" customHeight="1">
      <c r="D106" s="76"/>
      <c r="E106" s="76"/>
      <c r="F106" s="76"/>
    </row>
    <row r="107" ht="15.75" customHeight="1">
      <c r="D107" s="76"/>
      <c r="E107" s="76"/>
      <c r="F107" s="76"/>
    </row>
    <row r="108" ht="15.75" customHeight="1">
      <c r="D108" s="76"/>
      <c r="E108" s="76"/>
      <c r="F108" s="76"/>
    </row>
    <row r="109" ht="15.75" customHeight="1">
      <c r="D109" s="76"/>
      <c r="E109" s="76"/>
      <c r="F109" s="76"/>
    </row>
    <row r="110" ht="15.75" customHeight="1">
      <c r="D110" s="76"/>
      <c r="E110" s="76"/>
      <c r="F110" s="76"/>
    </row>
    <row r="111" ht="15.75" customHeight="1">
      <c r="D111" s="76"/>
      <c r="E111" s="76"/>
      <c r="F111" s="76"/>
    </row>
    <row r="112" ht="15.75" customHeight="1">
      <c r="D112" s="76"/>
      <c r="E112" s="76"/>
      <c r="F112" s="76"/>
    </row>
    <row r="113" ht="15.75" customHeight="1">
      <c r="D113" s="76"/>
      <c r="E113" s="76"/>
      <c r="F113" s="76"/>
    </row>
    <row r="114" ht="15.75" customHeight="1">
      <c r="D114" s="76"/>
      <c r="E114" s="76"/>
      <c r="F114" s="76"/>
    </row>
    <row r="115" ht="15.75" customHeight="1">
      <c r="D115" s="76"/>
      <c r="E115" s="76"/>
      <c r="F115" s="76"/>
    </row>
    <row r="116" ht="15.75" customHeight="1">
      <c r="D116" s="76"/>
      <c r="E116" s="76"/>
      <c r="F116" s="76"/>
    </row>
    <row r="117" ht="15.75" customHeight="1">
      <c r="D117" s="76"/>
      <c r="E117" s="76"/>
      <c r="F117" s="76"/>
    </row>
    <row r="118" ht="15.75" customHeight="1">
      <c r="D118" s="76"/>
      <c r="E118" s="76"/>
      <c r="F118" s="76"/>
    </row>
    <row r="119" ht="15.75" customHeight="1">
      <c r="D119" s="76"/>
      <c r="E119" s="76"/>
      <c r="F119" s="76"/>
    </row>
    <row r="120" ht="15.75" customHeight="1">
      <c r="D120" s="76"/>
      <c r="E120" s="76"/>
      <c r="F120" s="76"/>
    </row>
    <row r="121" ht="15.75" customHeight="1">
      <c r="D121" s="76"/>
      <c r="E121" s="76"/>
      <c r="F121" s="76"/>
    </row>
    <row r="122" ht="15.75" customHeight="1">
      <c r="D122" s="76"/>
      <c r="E122" s="76"/>
      <c r="F122" s="76"/>
    </row>
    <row r="123" ht="15.75" customHeight="1">
      <c r="D123" s="76"/>
      <c r="E123" s="76"/>
      <c r="F123" s="76"/>
    </row>
    <row r="124" ht="15.75" customHeight="1">
      <c r="D124" s="76"/>
      <c r="E124" s="76"/>
      <c r="F124" s="76"/>
    </row>
    <row r="125" ht="15.75" customHeight="1">
      <c r="D125" s="76"/>
      <c r="E125" s="76"/>
      <c r="F125" s="76"/>
    </row>
    <row r="126" ht="15.75" customHeight="1">
      <c r="D126" s="76"/>
      <c r="E126" s="76"/>
      <c r="F126" s="76"/>
    </row>
    <row r="127" ht="15.75" customHeight="1">
      <c r="D127" s="76"/>
      <c r="E127" s="76"/>
      <c r="F127" s="76"/>
    </row>
    <row r="128" ht="15.75" customHeight="1">
      <c r="D128" s="76"/>
      <c r="E128" s="76"/>
      <c r="F128" s="76"/>
    </row>
    <row r="129" ht="15.75" customHeight="1">
      <c r="D129" s="76"/>
      <c r="E129" s="76"/>
      <c r="F129" s="76"/>
    </row>
    <row r="130" ht="15.75" customHeight="1">
      <c r="D130" s="76"/>
      <c r="E130" s="76"/>
      <c r="F130" s="76"/>
    </row>
    <row r="131" ht="15.75" customHeight="1">
      <c r="D131" s="76"/>
      <c r="E131" s="76"/>
      <c r="F131" s="76"/>
    </row>
    <row r="132" ht="15.75" customHeight="1">
      <c r="D132" s="76"/>
      <c r="E132" s="76"/>
      <c r="F132" s="76"/>
    </row>
    <row r="133" ht="15.75" customHeight="1">
      <c r="D133" s="76"/>
      <c r="E133" s="76"/>
      <c r="F133" s="76"/>
    </row>
    <row r="134" ht="15.75" customHeight="1">
      <c r="D134" s="76"/>
      <c r="E134" s="76"/>
      <c r="F134" s="76"/>
    </row>
    <row r="135" ht="15.75" customHeight="1">
      <c r="D135" s="76"/>
      <c r="E135" s="76"/>
      <c r="F135" s="76"/>
    </row>
    <row r="136" ht="15.75" customHeight="1">
      <c r="D136" s="76"/>
      <c r="E136" s="76"/>
      <c r="F136" s="76"/>
    </row>
    <row r="137" ht="15.75" customHeight="1">
      <c r="D137" s="76"/>
      <c r="E137" s="76"/>
      <c r="F137" s="76"/>
    </row>
    <row r="138" ht="15.75" customHeight="1">
      <c r="D138" s="76"/>
      <c r="E138" s="76"/>
      <c r="F138" s="76"/>
    </row>
    <row r="139" ht="15.75" customHeight="1">
      <c r="D139" s="76"/>
      <c r="E139" s="76"/>
      <c r="F139" s="76"/>
    </row>
    <row r="140" ht="15.75" customHeight="1">
      <c r="D140" s="76"/>
      <c r="E140" s="76"/>
      <c r="F140" s="76"/>
    </row>
    <row r="141" ht="15.75" customHeight="1">
      <c r="D141" s="76"/>
      <c r="E141" s="76"/>
      <c r="F141" s="76"/>
    </row>
    <row r="142" ht="15.75" customHeight="1">
      <c r="D142" s="76"/>
      <c r="E142" s="76"/>
      <c r="F142" s="76"/>
    </row>
    <row r="143" ht="15.75" customHeight="1">
      <c r="D143" s="76"/>
      <c r="E143" s="76"/>
      <c r="F143" s="76"/>
    </row>
    <row r="144" ht="15.75" customHeight="1">
      <c r="D144" s="76"/>
      <c r="E144" s="76"/>
      <c r="F144" s="76"/>
    </row>
    <row r="145" ht="15.75" customHeight="1">
      <c r="D145" s="76"/>
      <c r="E145" s="76"/>
      <c r="F145" s="76"/>
    </row>
    <row r="146" ht="15.75" customHeight="1">
      <c r="D146" s="76"/>
      <c r="E146" s="76"/>
      <c r="F146" s="76"/>
    </row>
    <row r="147" ht="15.75" customHeight="1">
      <c r="D147" s="76"/>
      <c r="E147" s="76"/>
      <c r="F147" s="76"/>
    </row>
    <row r="148" ht="15.75" customHeight="1">
      <c r="D148" s="76"/>
      <c r="E148" s="76"/>
      <c r="F148" s="76"/>
    </row>
    <row r="149" ht="15.75" customHeight="1">
      <c r="D149" s="76"/>
      <c r="E149" s="76"/>
      <c r="F149" s="76"/>
    </row>
    <row r="150" ht="15.75" customHeight="1">
      <c r="D150" s="76"/>
      <c r="E150" s="76"/>
      <c r="F150" s="76"/>
    </row>
    <row r="151" ht="15.75" customHeight="1">
      <c r="D151" s="76"/>
      <c r="E151" s="76"/>
      <c r="F151" s="76"/>
    </row>
    <row r="152" ht="15.75" customHeight="1">
      <c r="D152" s="76"/>
      <c r="E152" s="76"/>
      <c r="F152" s="76"/>
    </row>
    <row r="153" ht="15.75" customHeight="1">
      <c r="D153" s="76"/>
      <c r="E153" s="76"/>
      <c r="F153" s="76"/>
    </row>
    <row r="154" ht="15.75" customHeight="1">
      <c r="D154" s="76"/>
      <c r="E154" s="76"/>
      <c r="F154" s="76"/>
    </row>
    <row r="155" ht="15.75" customHeight="1">
      <c r="D155" s="76"/>
      <c r="E155" s="76"/>
      <c r="F155" s="76"/>
    </row>
    <row r="156" ht="15.75" customHeight="1">
      <c r="D156" s="76"/>
      <c r="E156" s="76"/>
      <c r="F156" s="76"/>
    </row>
    <row r="157" ht="15.75" customHeight="1">
      <c r="D157" s="76"/>
      <c r="E157" s="76"/>
      <c r="F157" s="76"/>
    </row>
    <row r="158" ht="15.75" customHeight="1">
      <c r="D158" s="76"/>
      <c r="E158" s="76"/>
      <c r="F158" s="76"/>
    </row>
    <row r="159" ht="15.75" customHeight="1">
      <c r="D159" s="76"/>
      <c r="E159" s="76"/>
      <c r="F159" s="76"/>
    </row>
    <row r="160" ht="15.75" customHeight="1">
      <c r="D160" s="76"/>
      <c r="E160" s="76"/>
      <c r="F160" s="76"/>
    </row>
    <row r="161" ht="15.75" customHeight="1">
      <c r="D161" s="76"/>
      <c r="E161" s="76"/>
      <c r="F161" s="76"/>
    </row>
    <row r="162" ht="15.75" customHeight="1">
      <c r="D162" s="76"/>
      <c r="E162" s="76"/>
      <c r="F162" s="76"/>
    </row>
    <row r="163" ht="15.75" customHeight="1">
      <c r="D163" s="76"/>
      <c r="E163" s="76"/>
      <c r="F163" s="76"/>
    </row>
    <row r="164" ht="15.75" customHeight="1">
      <c r="D164" s="76"/>
      <c r="E164" s="76"/>
      <c r="F164" s="76"/>
    </row>
    <row r="165" ht="15.75" customHeight="1">
      <c r="D165" s="76"/>
      <c r="E165" s="76"/>
      <c r="F165" s="76"/>
    </row>
    <row r="166" ht="15.75" customHeight="1">
      <c r="D166" s="76"/>
      <c r="E166" s="76"/>
      <c r="F166" s="76"/>
    </row>
    <row r="167" ht="15.75" customHeight="1">
      <c r="D167" s="76"/>
      <c r="E167" s="76"/>
      <c r="F167" s="76"/>
    </row>
    <row r="168" ht="15.75" customHeight="1">
      <c r="D168" s="76"/>
      <c r="E168" s="76"/>
      <c r="F168" s="76"/>
    </row>
    <row r="169" ht="15.75" customHeight="1">
      <c r="D169" s="76"/>
      <c r="E169" s="76"/>
      <c r="F169" s="76"/>
    </row>
    <row r="170" ht="15.75" customHeight="1">
      <c r="D170" s="76"/>
      <c r="E170" s="76"/>
      <c r="F170" s="76"/>
    </row>
    <row r="171" ht="15.75" customHeight="1">
      <c r="D171" s="76"/>
      <c r="E171" s="76"/>
      <c r="F171" s="76"/>
    </row>
    <row r="172" ht="15.75" customHeight="1">
      <c r="D172" s="76"/>
      <c r="E172" s="76"/>
      <c r="F172" s="76"/>
    </row>
    <row r="173" ht="15.75" customHeight="1">
      <c r="D173" s="76"/>
      <c r="E173" s="76"/>
      <c r="F173" s="76"/>
    </row>
    <row r="174" ht="15.75" customHeight="1">
      <c r="D174" s="76"/>
      <c r="E174" s="76"/>
      <c r="F174" s="76"/>
    </row>
    <row r="175" ht="15.75" customHeight="1">
      <c r="D175" s="76"/>
      <c r="E175" s="76"/>
      <c r="F175" s="76"/>
    </row>
    <row r="176" ht="15.75" customHeight="1">
      <c r="D176" s="76"/>
      <c r="E176" s="76"/>
      <c r="F176" s="76"/>
    </row>
    <row r="177" ht="15.75" customHeight="1">
      <c r="D177" s="76"/>
      <c r="E177" s="76"/>
      <c r="F177" s="76"/>
    </row>
    <row r="178" ht="15.75" customHeight="1">
      <c r="D178" s="76"/>
      <c r="E178" s="76"/>
      <c r="F178" s="76"/>
    </row>
    <row r="179" ht="15.75" customHeight="1">
      <c r="D179" s="76"/>
      <c r="E179" s="76"/>
      <c r="F179" s="76"/>
    </row>
    <row r="180" ht="15.75" customHeight="1">
      <c r="D180" s="76"/>
      <c r="E180" s="76"/>
      <c r="F180" s="76"/>
    </row>
    <row r="181" ht="15.75" customHeight="1">
      <c r="D181" s="76"/>
      <c r="E181" s="76"/>
      <c r="F181" s="76"/>
    </row>
    <row r="182" ht="15.75" customHeight="1">
      <c r="D182" s="76"/>
      <c r="E182" s="76"/>
      <c r="F182" s="76"/>
    </row>
    <row r="183" ht="15.75" customHeight="1">
      <c r="D183" s="76"/>
      <c r="E183" s="76"/>
      <c r="F183" s="76"/>
    </row>
    <row r="184" ht="15.75" customHeight="1">
      <c r="D184" s="76"/>
      <c r="E184" s="76"/>
      <c r="F184" s="76"/>
    </row>
    <row r="185" ht="15.75" customHeight="1">
      <c r="D185" s="76"/>
      <c r="E185" s="76"/>
      <c r="F185" s="76"/>
    </row>
    <row r="186" ht="15.75" customHeight="1">
      <c r="D186" s="76"/>
      <c r="E186" s="76"/>
      <c r="F186" s="76"/>
    </row>
    <row r="187" ht="15.75" customHeight="1">
      <c r="D187" s="76"/>
      <c r="E187" s="76"/>
      <c r="F187" s="76"/>
    </row>
    <row r="188" ht="15.75" customHeight="1">
      <c r="D188" s="76"/>
      <c r="E188" s="76"/>
      <c r="F188" s="76"/>
    </row>
    <row r="189" ht="15.75" customHeight="1">
      <c r="D189" s="76"/>
      <c r="E189" s="76"/>
      <c r="F189" s="76"/>
    </row>
    <row r="190" ht="15.75" customHeight="1">
      <c r="D190" s="76"/>
      <c r="E190" s="76"/>
      <c r="F190" s="76"/>
    </row>
    <row r="191" ht="15.75" customHeight="1">
      <c r="D191" s="76"/>
      <c r="E191" s="76"/>
      <c r="F191" s="76"/>
    </row>
    <row r="192" ht="15.75" customHeight="1">
      <c r="D192" s="76"/>
      <c r="E192" s="76"/>
      <c r="F192" s="76"/>
    </row>
    <row r="193" ht="15.75" customHeight="1">
      <c r="D193" s="76"/>
      <c r="E193" s="76"/>
      <c r="F193" s="76"/>
    </row>
    <row r="194" ht="15.75" customHeight="1">
      <c r="D194" s="76"/>
      <c r="E194" s="76"/>
      <c r="F194" s="76"/>
    </row>
    <row r="195" ht="15.75" customHeight="1">
      <c r="D195" s="76"/>
      <c r="E195" s="76"/>
      <c r="F195" s="76"/>
    </row>
    <row r="196" ht="15.75" customHeight="1">
      <c r="D196" s="76"/>
      <c r="E196" s="76"/>
      <c r="F196" s="76"/>
    </row>
    <row r="197" ht="15.75" customHeight="1">
      <c r="D197" s="76"/>
      <c r="E197" s="76"/>
      <c r="F197" s="76"/>
    </row>
    <row r="198" ht="15.75" customHeight="1">
      <c r="D198" s="76"/>
      <c r="E198" s="76"/>
      <c r="F198" s="76"/>
    </row>
    <row r="199" ht="15.75" customHeight="1">
      <c r="D199" s="76"/>
      <c r="E199" s="76"/>
      <c r="F199" s="76"/>
    </row>
    <row r="200" ht="15.75" customHeight="1">
      <c r="D200" s="76"/>
      <c r="E200" s="76"/>
      <c r="F200" s="76"/>
    </row>
    <row r="201" ht="15.75" customHeight="1">
      <c r="D201" s="76"/>
      <c r="E201" s="76"/>
      <c r="F201" s="76"/>
    </row>
    <row r="202" ht="15.75" customHeight="1">
      <c r="D202" s="76"/>
      <c r="E202" s="76"/>
      <c r="F202" s="76"/>
    </row>
    <row r="203" ht="15.75" customHeight="1">
      <c r="D203" s="76"/>
      <c r="E203" s="76"/>
      <c r="F203" s="76"/>
    </row>
    <row r="204" ht="15.75" customHeight="1">
      <c r="D204" s="76"/>
      <c r="E204" s="76"/>
      <c r="F204" s="76"/>
    </row>
    <row r="205" ht="15.75" customHeight="1">
      <c r="D205" s="76"/>
      <c r="E205" s="76"/>
      <c r="F205" s="76"/>
    </row>
    <row r="206" ht="15.75" customHeight="1">
      <c r="D206" s="76"/>
      <c r="E206" s="76"/>
      <c r="F206" s="76"/>
    </row>
    <row r="207" ht="15.75" customHeight="1">
      <c r="D207" s="76"/>
      <c r="E207" s="76"/>
      <c r="F207" s="76"/>
    </row>
    <row r="208" ht="15.75" customHeight="1">
      <c r="D208" s="76"/>
      <c r="E208" s="76"/>
      <c r="F208" s="76"/>
    </row>
    <row r="209" ht="15.75" customHeight="1">
      <c r="D209" s="76"/>
      <c r="E209" s="76"/>
      <c r="F209" s="76"/>
    </row>
    <row r="210" ht="15.75" customHeight="1">
      <c r="D210" s="76"/>
      <c r="E210" s="76"/>
      <c r="F210" s="76"/>
    </row>
    <row r="211" ht="15.75" customHeight="1">
      <c r="D211" s="76"/>
      <c r="E211" s="76"/>
      <c r="F211" s="76"/>
    </row>
    <row r="212" ht="15.75" customHeight="1">
      <c r="D212" s="76"/>
      <c r="E212" s="76"/>
      <c r="F212" s="76"/>
    </row>
    <row r="213" ht="15.75" customHeight="1">
      <c r="D213" s="76"/>
      <c r="E213" s="76"/>
      <c r="F213" s="76"/>
    </row>
    <row r="214" ht="15.75" customHeight="1">
      <c r="D214" s="76"/>
      <c r="E214" s="76"/>
      <c r="F214" s="76"/>
    </row>
    <row r="215" ht="15.75" customHeight="1">
      <c r="D215" s="76"/>
      <c r="E215" s="76"/>
      <c r="F215" s="76"/>
    </row>
    <row r="216" ht="15.75" customHeight="1">
      <c r="D216" s="76"/>
      <c r="E216" s="76"/>
      <c r="F216" s="76"/>
    </row>
    <row r="217" ht="15.75" customHeight="1">
      <c r="D217" s="76"/>
      <c r="E217" s="76"/>
      <c r="F217" s="76"/>
    </row>
    <row r="218" ht="15.75" customHeight="1">
      <c r="D218" s="76"/>
      <c r="E218" s="76"/>
      <c r="F218" s="76"/>
    </row>
    <row r="219" ht="15.75" customHeight="1">
      <c r="D219" s="76"/>
      <c r="E219" s="76"/>
      <c r="F219" s="76"/>
    </row>
    <row r="220" ht="15.75" customHeight="1">
      <c r="D220" s="76"/>
      <c r="E220" s="76"/>
      <c r="F220" s="76"/>
    </row>
    <row r="221" ht="15.75" customHeight="1">
      <c r="D221" s="76"/>
      <c r="E221" s="76"/>
      <c r="F221" s="76"/>
    </row>
    <row r="222" ht="15.75" customHeight="1">
      <c r="D222" s="76"/>
      <c r="E222" s="76"/>
      <c r="F222" s="76"/>
    </row>
    <row r="223" ht="15.75" customHeight="1">
      <c r="D223" s="76"/>
      <c r="E223" s="76"/>
      <c r="F223" s="76"/>
    </row>
    <row r="224" ht="15.75" customHeight="1">
      <c r="D224" s="76"/>
      <c r="E224" s="76"/>
      <c r="F224" s="76"/>
    </row>
    <row r="225" ht="15.75" customHeight="1">
      <c r="D225" s="76"/>
      <c r="E225" s="76"/>
      <c r="F225" s="76"/>
    </row>
    <row r="226" ht="15.75" customHeight="1">
      <c r="D226" s="76"/>
      <c r="E226" s="76"/>
      <c r="F226" s="76"/>
    </row>
    <row r="227" ht="15.75" customHeight="1">
      <c r="D227" s="76"/>
      <c r="E227" s="76"/>
      <c r="F227" s="76"/>
    </row>
    <row r="228" ht="15.75" customHeight="1">
      <c r="D228" s="76"/>
      <c r="E228" s="76"/>
      <c r="F228" s="76"/>
    </row>
    <row r="229" ht="15.75" customHeight="1">
      <c r="D229" s="76"/>
      <c r="E229" s="76"/>
      <c r="F229" s="76"/>
    </row>
    <row r="230" ht="15.75" customHeight="1">
      <c r="D230" s="76"/>
      <c r="E230" s="76"/>
      <c r="F230" s="76"/>
    </row>
    <row r="231" ht="15.75" customHeight="1">
      <c r="D231" s="76"/>
      <c r="E231" s="76"/>
      <c r="F231" s="76"/>
    </row>
    <row r="232" ht="15.75" customHeight="1">
      <c r="D232" s="76"/>
      <c r="E232" s="76"/>
      <c r="F232" s="76"/>
    </row>
    <row r="233" ht="15.75" customHeight="1">
      <c r="D233" s="76"/>
      <c r="E233" s="76"/>
      <c r="F233" s="76"/>
    </row>
    <row r="234" ht="15.75" customHeight="1">
      <c r="D234" s="76"/>
      <c r="E234" s="76"/>
      <c r="F234" s="76"/>
    </row>
    <row r="235" ht="15.75" customHeight="1">
      <c r="D235" s="76"/>
      <c r="E235" s="76"/>
      <c r="F235" s="76"/>
    </row>
    <row r="236" ht="15.75" customHeight="1">
      <c r="D236" s="76"/>
      <c r="E236" s="76"/>
      <c r="F236" s="76"/>
    </row>
    <row r="237" ht="15.75" customHeight="1">
      <c r="D237" s="76"/>
      <c r="E237" s="76"/>
      <c r="F237" s="76"/>
    </row>
    <row r="238" ht="15.75" customHeight="1">
      <c r="D238" s="76"/>
      <c r="E238" s="76"/>
      <c r="F238" s="76"/>
    </row>
    <row r="239" ht="15.75" customHeight="1">
      <c r="D239" s="76"/>
      <c r="E239" s="76"/>
      <c r="F239" s="76"/>
    </row>
    <row r="240" ht="15.75" customHeight="1">
      <c r="D240" s="76"/>
      <c r="E240" s="76"/>
      <c r="F240" s="76"/>
    </row>
    <row r="241" ht="15.75" customHeight="1">
      <c r="D241" s="76"/>
      <c r="E241" s="76"/>
      <c r="F241" s="76"/>
    </row>
    <row r="242" ht="15.75" customHeight="1">
      <c r="D242" s="76"/>
      <c r="E242" s="76"/>
      <c r="F242" s="76"/>
    </row>
    <row r="243" ht="15.75" customHeight="1">
      <c r="D243" s="76"/>
      <c r="E243" s="76"/>
      <c r="F243" s="76"/>
    </row>
    <row r="244" ht="15.75" customHeight="1">
      <c r="D244" s="76"/>
      <c r="E244" s="76"/>
      <c r="F244" s="76"/>
    </row>
    <row r="245" ht="15.75" customHeight="1">
      <c r="D245" s="76"/>
      <c r="E245" s="76"/>
      <c r="F245" s="76"/>
    </row>
    <row r="246" ht="15.75" customHeight="1">
      <c r="D246" s="76"/>
      <c r="E246" s="76"/>
      <c r="F246" s="76"/>
    </row>
    <row r="247" ht="15.75" customHeight="1">
      <c r="D247" s="76"/>
      <c r="E247" s="76"/>
      <c r="F247" s="76"/>
    </row>
    <row r="248" ht="15.75" customHeight="1">
      <c r="D248" s="76"/>
      <c r="E248" s="76"/>
      <c r="F248" s="76"/>
    </row>
    <row r="249" ht="15.75" customHeight="1">
      <c r="D249" s="76"/>
      <c r="E249" s="76"/>
      <c r="F249" s="76"/>
    </row>
    <row r="250" ht="15.75" customHeight="1">
      <c r="D250" s="76"/>
      <c r="E250" s="76"/>
      <c r="F250" s="76"/>
    </row>
    <row r="251" ht="15.75" customHeight="1">
      <c r="D251" s="76"/>
      <c r="E251" s="76"/>
      <c r="F251" s="76"/>
    </row>
    <row r="252" ht="15.75" customHeight="1">
      <c r="D252" s="76"/>
      <c r="E252" s="76"/>
      <c r="F252" s="76"/>
    </row>
    <row r="253" ht="15.75" customHeight="1">
      <c r="D253" s="76"/>
      <c r="E253" s="76"/>
      <c r="F253" s="76"/>
    </row>
    <row r="254" ht="15.75" customHeight="1">
      <c r="D254" s="76"/>
      <c r="E254" s="76"/>
      <c r="F254" s="76"/>
    </row>
    <row r="255" ht="15.75" customHeight="1">
      <c r="D255" s="76"/>
      <c r="E255" s="76"/>
      <c r="F255" s="76"/>
    </row>
    <row r="256" ht="15.75" customHeight="1">
      <c r="D256" s="76"/>
      <c r="E256" s="76"/>
      <c r="F256" s="76"/>
    </row>
    <row r="257" ht="15.75" customHeight="1">
      <c r="D257" s="76"/>
      <c r="E257" s="76"/>
      <c r="F257" s="76"/>
    </row>
    <row r="258" ht="15.75" customHeight="1">
      <c r="D258" s="76"/>
      <c r="E258" s="76"/>
      <c r="F258" s="76"/>
    </row>
    <row r="259" ht="15.75" customHeight="1">
      <c r="D259" s="76"/>
      <c r="E259" s="76"/>
      <c r="F259" s="76"/>
    </row>
    <row r="260" ht="15.75" customHeight="1">
      <c r="D260" s="76"/>
      <c r="E260" s="76"/>
      <c r="F260" s="76"/>
    </row>
    <row r="261" ht="15.75" customHeight="1">
      <c r="D261" s="76"/>
      <c r="E261" s="76"/>
      <c r="F261" s="76"/>
    </row>
    <row r="262" ht="15.75" customHeight="1">
      <c r="D262" s="76"/>
      <c r="E262" s="76"/>
      <c r="F262" s="76"/>
    </row>
    <row r="263" ht="15.75" customHeight="1">
      <c r="D263" s="76"/>
      <c r="E263" s="76"/>
      <c r="F263" s="76"/>
    </row>
    <row r="264" ht="15.75" customHeight="1">
      <c r="D264" s="76"/>
      <c r="E264" s="76"/>
      <c r="F264" s="76"/>
    </row>
    <row r="265" ht="15.75" customHeight="1">
      <c r="D265" s="76"/>
      <c r="E265" s="76"/>
      <c r="F265" s="76"/>
    </row>
    <row r="266" ht="15.75" customHeight="1">
      <c r="D266" s="76"/>
      <c r="E266" s="76"/>
      <c r="F266" s="76"/>
    </row>
    <row r="267" ht="15.75" customHeight="1">
      <c r="D267" s="76"/>
      <c r="E267" s="76"/>
      <c r="F267" s="76"/>
    </row>
    <row r="268" ht="15.75" customHeight="1">
      <c r="D268" s="76"/>
      <c r="E268" s="76"/>
      <c r="F268" s="76"/>
    </row>
    <row r="269" ht="15.75" customHeight="1">
      <c r="D269" s="76"/>
      <c r="E269" s="76"/>
      <c r="F269" s="76"/>
    </row>
    <row r="270" ht="15.75" customHeight="1">
      <c r="D270" s="76"/>
      <c r="E270" s="76"/>
      <c r="F270" s="76"/>
    </row>
    <row r="271" ht="15.75" customHeight="1">
      <c r="D271" s="76"/>
      <c r="E271" s="76"/>
      <c r="F271" s="76"/>
    </row>
    <row r="272" ht="15.75" customHeight="1">
      <c r="D272" s="76"/>
      <c r="E272" s="76"/>
      <c r="F272" s="76"/>
    </row>
    <row r="273" ht="15.75" customHeight="1">
      <c r="D273" s="76"/>
      <c r="E273" s="76"/>
      <c r="F273" s="76"/>
    </row>
    <row r="274" ht="15.75" customHeight="1">
      <c r="D274" s="76"/>
      <c r="E274" s="76"/>
      <c r="F274" s="76"/>
    </row>
    <row r="275" ht="15.75" customHeight="1">
      <c r="D275" s="76"/>
      <c r="E275" s="76"/>
      <c r="F275" s="76"/>
    </row>
    <row r="276" ht="15.75" customHeight="1">
      <c r="D276" s="76"/>
      <c r="E276" s="76"/>
      <c r="F276" s="76"/>
    </row>
    <row r="277" ht="15.75" customHeight="1">
      <c r="D277" s="76"/>
      <c r="E277" s="76"/>
      <c r="F277" s="76"/>
    </row>
    <row r="278" ht="15.75" customHeight="1">
      <c r="D278" s="76"/>
      <c r="E278" s="76"/>
      <c r="F278" s="76"/>
    </row>
    <row r="279" ht="15.75" customHeight="1">
      <c r="D279" s="76"/>
      <c r="E279" s="76"/>
      <c r="F279" s="76"/>
    </row>
    <row r="280" ht="15.75" customHeight="1">
      <c r="D280" s="76"/>
      <c r="E280" s="76"/>
      <c r="F280" s="76"/>
    </row>
    <row r="281" ht="15.75" customHeight="1">
      <c r="D281" s="76"/>
      <c r="E281" s="76"/>
      <c r="F281" s="76"/>
    </row>
    <row r="282" ht="15.75" customHeight="1">
      <c r="D282" s="76"/>
      <c r="E282" s="76"/>
      <c r="F282" s="76"/>
    </row>
    <row r="283" ht="15.75" customHeight="1">
      <c r="D283" s="76"/>
      <c r="E283" s="76"/>
      <c r="F283" s="76"/>
    </row>
    <row r="284" ht="15.75" customHeight="1">
      <c r="D284" s="76"/>
      <c r="E284" s="76"/>
      <c r="F284" s="76"/>
    </row>
    <row r="285" ht="15.75" customHeight="1">
      <c r="D285" s="76"/>
      <c r="E285" s="76"/>
      <c r="F285" s="76"/>
    </row>
    <row r="286" ht="15.75" customHeight="1">
      <c r="D286" s="76"/>
      <c r="E286" s="76"/>
      <c r="F286" s="76"/>
    </row>
    <row r="287" ht="15.75" customHeight="1">
      <c r="D287" s="76"/>
      <c r="E287" s="76"/>
      <c r="F287" s="76"/>
    </row>
    <row r="288" ht="15.75" customHeight="1">
      <c r="D288" s="76"/>
      <c r="E288" s="76"/>
      <c r="F288" s="76"/>
    </row>
    <row r="289" ht="15.75" customHeight="1">
      <c r="D289" s="76"/>
      <c r="E289" s="76"/>
      <c r="F289" s="76"/>
    </row>
    <row r="290" ht="15.75" customHeight="1">
      <c r="D290" s="76"/>
      <c r="E290" s="76"/>
      <c r="F290" s="76"/>
    </row>
    <row r="291" ht="15.75" customHeight="1">
      <c r="D291" s="76"/>
      <c r="E291" s="76"/>
      <c r="F291" s="76"/>
    </row>
    <row r="292" ht="15.75" customHeight="1">
      <c r="D292" s="76"/>
      <c r="E292" s="76"/>
      <c r="F292" s="76"/>
    </row>
    <row r="293" ht="15.75" customHeight="1">
      <c r="D293" s="76"/>
      <c r="E293" s="76"/>
      <c r="F293" s="76"/>
    </row>
    <row r="294" ht="15.75" customHeight="1">
      <c r="D294" s="76"/>
      <c r="E294" s="76"/>
      <c r="F294" s="76"/>
    </row>
    <row r="295" ht="15.75" customHeight="1">
      <c r="D295" s="76"/>
      <c r="E295" s="76"/>
      <c r="F295" s="76"/>
    </row>
    <row r="296" ht="15.75" customHeight="1">
      <c r="D296" s="76"/>
      <c r="E296" s="76"/>
      <c r="F296" s="76"/>
    </row>
    <row r="297" ht="15.75" customHeight="1">
      <c r="D297" s="76"/>
      <c r="E297" s="76"/>
      <c r="F297" s="76"/>
    </row>
    <row r="298" ht="15.75" customHeight="1">
      <c r="D298" s="76"/>
      <c r="E298" s="76"/>
      <c r="F298" s="76"/>
    </row>
    <row r="299" ht="15.75" customHeight="1">
      <c r="D299" s="76"/>
      <c r="E299" s="76"/>
      <c r="F299" s="76"/>
    </row>
    <row r="300" ht="15.75" customHeight="1">
      <c r="D300" s="76"/>
      <c r="E300" s="76"/>
      <c r="F300" s="76"/>
    </row>
    <row r="301" ht="15.75" customHeight="1">
      <c r="D301" s="76"/>
      <c r="E301" s="76"/>
      <c r="F301" s="76"/>
    </row>
    <row r="302" ht="15.75" customHeight="1">
      <c r="D302" s="76"/>
      <c r="E302" s="76"/>
      <c r="F302" s="76"/>
    </row>
    <row r="303" ht="15.75" customHeight="1">
      <c r="D303" s="76"/>
      <c r="E303" s="76"/>
      <c r="F303" s="76"/>
    </row>
    <row r="304" ht="15.75" customHeight="1">
      <c r="D304" s="76"/>
      <c r="E304" s="76"/>
      <c r="F304" s="76"/>
    </row>
    <row r="305" ht="15.75" customHeight="1">
      <c r="D305" s="76"/>
      <c r="E305" s="76"/>
      <c r="F305" s="76"/>
    </row>
    <row r="306" ht="15.75" customHeight="1">
      <c r="D306" s="76"/>
      <c r="E306" s="76"/>
      <c r="F306" s="76"/>
    </row>
    <row r="307" ht="15.75" customHeight="1">
      <c r="D307" s="76"/>
      <c r="E307" s="76"/>
      <c r="F307" s="76"/>
    </row>
    <row r="308" ht="15.75" customHeight="1">
      <c r="D308" s="76"/>
      <c r="E308" s="76"/>
      <c r="F308" s="76"/>
    </row>
    <row r="309" ht="15.75" customHeight="1">
      <c r="D309" s="76"/>
      <c r="E309" s="76"/>
      <c r="F309" s="76"/>
    </row>
    <row r="310" ht="15.75" customHeight="1">
      <c r="D310" s="76"/>
      <c r="E310" s="76"/>
      <c r="F310" s="76"/>
    </row>
    <row r="311" ht="15.75" customHeight="1">
      <c r="D311" s="76"/>
      <c r="E311" s="76"/>
      <c r="F311" s="76"/>
    </row>
    <row r="312" ht="15.75" customHeight="1">
      <c r="D312" s="76"/>
      <c r="E312" s="76"/>
      <c r="F312" s="76"/>
    </row>
    <row r="313" ht="15.75" customHeight="1">
      <c r="D313" s="76"/>
      <c r="E313" s="76"/>
      <c r="F313" s="76"/>
    </row>
    <row r="314" ht="15.75" customHeight="1">
      <c r="D314" s="76"/>
      <c r="E314" s="76"/>
      <c r="F314" s="76"/>
    </row>
    <row r="315" ht="15.75" customHeight="1">
      <c r="D315" s="76"/>
      <c r="E315" s="76"/>
      <c r="F315" s="76"/>
    </row>
    <row r="316" ht="15.75" customHeight="1">
      <c r="D316" s="76"/>
      <c r="E316" s="76"/>
      <c r="F316" s="76"/>
    </row>
    <row r="317" ht="15.75" customHeight="1">
      <c r="D317" s="76"/>
      <c r="E317" s="76"/>
      <c r="F317" s="76"/>
    </row>
    <row r="318" ht="15.75" customHeight="1">
      <c r="D318" s="76"/>
      <c r="E318" s="76"/>
      <c r="F318" s="76"/>
    </row>
    <row r="319" ht="15.75" customHeight="1">
      <c r="D319" s="76"/>
      <c r="E319" s="76"/>
      <c r="F319" s="76"/>
    </row>
    <row r="320" ht="15.75" customHeight="1">
      <c r="D320" s="76"/>
      <c r="E320" s="76"/>
      <c r="F320" s="76"/>
    </row>
    <row r="321" ht="15.75" customHeight="1">
      <c r="D321" s="76"/>
      <c r="E321" s="76"/>
      <c r="F321" s="76"/>
    </row>
    <row r="322" ht="15.75" customHeight="1">
      <c r="D322" s="76"/>
      <c r="E322" s="76"/>
      <c r="F322" s="76"/>
    </row>
    <row r="323" ht="15.75" customHeight="1">
      <c r="D323" s="76"/>
      <c r="E323" s="76"/>
      <c r="F323" s="76"/>
    </row>
    <row r="324" ht="15.75" customHeight="1">
      <c r="D324" s="76"/>
      <c r="E324" s="76"/>
      <c r="F324" s="76"/>
    </row>
    <row r="325" ht="15.75" customHeight="1">
      <c r="D325" s="76"/>
      <c r="E325" s="76"/>
      <c r="F325" s="76"/>
    </row>
    <row r="326" ht="15.75" customHeight="1">
      <c r="D326" s="76"/>
      <c r="E326" s="76"/>
      <c r="F326" s="76"/>
    </row>
    <row r="327" ht="15.75" customHeight="1">
      <c r="D327" s="76"/>
      <c r="E327" s="76"/>
      <c r="F327" s="76"/>
    </row>
    <row r="328" ht="15.75" customHeight="1">
      <c r="D328" s="76"/>
      <c r="E328" s="76"/>
      <c r="F328" s="76"/>
    </row>
    <row r="329" ht="15.75" customHeight="1">
      <c r="D329" s="76"/>
      <c r="E329" s="76"/>
      <c r="F329" s="76"/>
    </row>
    <row r="330" ht="15.75" customHeight="1">
      <c r="D330" s="76"/>
      <c r="E330" s="76"/>
      <c r="F330" s="76"/>
    </row>
    <row r="331" ht="15.75" customHeight="1">
      <c r="D331" s="76"/>
      <c r="E331" s="76"/>
      <c r="F331" s="76"/>
    </row>
    <row r="332" ht="15.75" customHeight="1">
      <c r="D332" s="76"/>
      <c r="E332" s="76"/>
      <c r="F332" s="76"/>
    </row>
    <row r="333" ht="15.75" customHeight="1">
      <c r="D333" s="76"/>
      <c r="E333" s="76"/>
      <c r="F333" s="76"/>
    </row>
    <row r="334" ht="15.75" customHeight="1">
      <c r="D334" s="76"/>
      <c r="E334" s="76"/>
      <c r="F334" s="76"/>
    </row>
    <row r="335" ht="15.75" customHeight="1">
      <c r="D335" s="76"/>
      <c r="E335" s="76"/>
      <c r="F335" s="76"/>
    </row>
    <row r="336" ht="15.75" customHeight="1">
      <c r="D336" s="76"/>
      <c r="E336" s="76"/>
      <c r="F336" s="76"/>
    </row>
    <row r="337" ht="15.75" customHeight="1">
      <c r="D337" s="76"/>
      <c r="E337" s="76"/>
      <c r="F337" s="76"/>
    </row>
    <row r="338" ht="15.75" customHeight="1">
      <c r="D338" s="76"/>
      <c r="E338" s="76"/>
      <c r="F338" s="76"/>
    </row>
    <row r="339" ht="15.75" customHeight="1">
      <c r="D339" s="76"/>
      <c r="E339" s="76"/>
      <c r="F339" s="76"/>
    </row>
    <row r="340" ht="15.75" customHeight="1">
      <c r="D340" s="76"/>
      <c r="E340" s="76"/>
      <c r="F340" s="76"/>
    </row>
    <row r="341" ht="15.75" customHeight="1">
      <c r="D341" s="76"/>
      <c r="E341" s="76"/>
      <c r="F341" s="76"/>
    </row>
    <row r="342" ht="15.75" customHeight="1">
      <c r="D342" s="76"/>
      <c r="E342" s="76"/>
      <c r="F342" s="76"/>
    </row>
    <row r="343" ht="15.75" customHeight="1">
      <c r="D343" s="76"/>
      <c r="E343" s="76"/>
      <c r="F343" s="76"/>
    </row>
    <row r="344" ht="15.75" customHeight="1">
      <c r="D344" s="76"/>
      <c r="E344" s="76"/>
      <c r="F344" s="76"/>
    </row>
    <row r="345" ht="15.75" customHeight="1">
      <c r="D345" s="76"/>
      <c r="E345" s="76"/>
      <c r="F345" s="76"/>
    </row>
    <row r="346" ht="15.75" customHeight="1">
      <c r="D346" s="76"/>
      <c r="E346" s="76"/>
      <c r="F346" s="76"/>
    </row>
    <row r="347" ht="15.75" customHeight="1">
      <c r="D347" s="76"/>
      <c r="E347" s="76"/>
      <c r="F347" s="76"/>
    </row>
    <row r="348" ht="15.75" customHeight="1">
      <c r="D348" s="76"/>
      <c r="E348" s="76"/>
      <c r="F348" s="76"/>
    </row>
    <row r="349" ht="15.75" customHeight="1">
      <c r="D349" s="76"/>
      <c r="E349" s="76"/>
      <c r="F349" s="76"/>
    </row>
    <row r="350" ht="15.75" customHeight="1">
      <c r="D350" s="76"/>
      <c r="E350" s="76"/>
      <c r="F350" s="76"/>
    </row>
    <row r="351" ht="15.75" customHeight="1">
      <c r="D351" s="76"/>
      <c r="E351" s="76"/>
      <c r="F351" s="76"/>
    </row>
    <row r="352" ht="15.75" customHeight="1">
      <c r="D352" s="76"/>
      <c r="E352" s="76"/>
      <c r="F352" s="76"/>
    </row>
    <row r="353" ht="15.75" customHeight="1">
      <c r="D353" s="76"/>
      <c r="E353" s="76"/>
      <c r="F353" s="76"/>
    </row>
    <row r="354" ht="15.75" customHeight="1">
      <c r="D354" s="76"/>
      <c r="E354" s="76"/>
      <c r="F354" s="76"/>
    </row>
    <row r="355" ht="15.75" customHeight="1">
      <c r="D355" s="76"/>
      <c r="E355" s="76"/>
      <c r="F355" s="76"/>
    </row>
    <row r="356" ht="15.75" customHeight="1">
      <c r="D356" s="76"/>
      <c r="E356" s="76"/>
      <c r="F356" s="76"/>
    </row>
    <row r="357" ht="15.75" customHeight="1">
      <c r="D357" s="76"/>
      <c r="E357" s="76"/>
      <c r="F357" s="76"/>
    </row>
    <row r="358" ht="15.75" customHeight="1">
      <c r="D358" s="76"/>
      <c r="E358" s="76"/>
      <c r="F358" s="76"/>
    </row>
    <row r="359" ht="15.75" customHeight="1">
      <c r="D359" s="76"/>
      <c r="E359" s="76"/>
      <c r="F359" s="76"/>
    </row>
    <row r="360" ht="15.75" customHeight="1">
      <c r="D360" s="76"/>
      <c r="E360" s="76"/>
      <c r="F360" s="76"/>
    </row>
    <row r="361" ht="15.75" customHeight="1">
      <c r="D361" s="76"/>
      <c r="E361" s="76"/>
      <c r="F361" s="76"/>
    </row>
    <row r="362" ht="15.75" customHeight="1">
      <c r="D362" s="76"/>
      <c r="E362" s="76"/>
      <c r="F362" s="76"/>
    </row>
    <row r="363" ht="15.75" customHeight="1">
      <c r="D363" s="76"/>
      <c r="E363" s="76"/>
      <c r="F363" s="76"/>
    </row>
    <row r="364" ht="15.75" customHeight="1">
      <c r="D364" s="76"/>
      <c r="E364" s="76"/>
      <c r="F364" s="76"/>
    </row>
    <row r="365" ht="15.75" customHeight="1">
      <c r="D365" s="76"/>
      <c r="E365" s="76"/>
      <c r="F365" s="76"/>
    </row>
    <row r="366" ht="15.75" customHeight="1">
      <c r="D366" s="76"/>
      <c r="E366" s="76"/>
      <c r="F366" s="76"/>
    </row>
    <row r="367" ht="15.75" customHeight="1">
      <c r="D367" s="76"/>
      <c r="E367" s="76"/>
      <c r="F367" s="76"/>
    </row>
    <row r="368" ht="15.75" customHeight="1">
      <c r="D368" s="76"/>
      <c r="E368" s="76"/>
      <c r="F368" s="76"/>
    </row>
    <row r="369" ht="15.75" customHeight="1">
      <c r="D369" s="76"/>
      <c r="E369" s="76"/>
      <c r="F369" s="76"/>
    </row>
    <row r="370" ht="15.75" customHeight="1">
      <c r="D370" s="76"/>
      <c r="E370" s="76"/>
      <c r="F370" s="76"/>
    </row>
    <row r="371" ht="15.75" customHeight="1">
      <c r="D371" s="76"/>
      <c r="E371" s="76"/>
      <c r="F371" s="76"/>
    </row>
    <row r="372" ht="15.75" customHeight="1">
      <c r="D372" s="76"/>
      <c r="E372" s="76"/>
      <c r="F372" s="76"/>
    </row>
    <row r="373" ht="15.75" customHeight="1">
      <c r="D373" s="76"/>
      <c r="E373" s="76"/>
      <c r="F373" s="76"/>
    </row>
    <row r="374" ht="15.75" customHeight="1">
      <c r="D374" s="76"/>
      <c r="E374" s="76"/>
      <c r="F374" s="76"/>
    </row>
    <row r="375" ht="15.75" customHeight="1">
      <c r="D375" s="76"/>
      <c r="E375" s="76"/>
      <c r="F375" s="76"/>
    </row>
    <row r="376" ht="15.75" customHeight="1">
      <c r="D376" s="76"/>
      <c r="E376" s="76"/>
      <c r="F376" s="76"/>
    </row>
    <row r="377" ht="15.75" customHeight="1">
      <c r="D377" s="76"/>
      <c r="E377" s="76"/>
      <c r="F377" s="76"/>
    </row>
    <row r="378" ht="15.75" customHeight="1">
      <c r="D378" s="76"/>
      <c r="E378" s="76"/>
      <c r="F378" s="76"/>
    </row>
    <row r="379" ht="15.75" customHeight="1">
      <c r="D379" s="76"/>
      <c r="E379" s="76"/>
      <c r="F379" s="76"/>
    </row>
    <row r="380" ht="15.75" customHeight="1">
      <c r="D380" s="76"/>
      <c r="E380" s="76"/>
      <c r="F380" s="76"/>
    </row>
    <row r="381" ht="15.75" customHeight="1">
      <c r="D381" s="76"/>
      <c r="E381" s="76"/>
      <c r="F381" s="76"/>
    </row>
    <row r="382" ht="15.75" customHeight="1">
      <c r="D382" s="76"/>
      <c r="E382" s="76"/>
      <c r="F382" s="76"/>
    </row>
    <row r="383" ht="15.75" customHeight="1">
      <c r="D383" s="76"/>
      <c r="E383" s="76"/>
      <c r="F383" s="76"/>
    </row>
    <row r="384" ht="15.75" customHeight="1">
      <c r="D384" s="76"/>
      <c r="E384" s="76"/>
      <c r="F384" s="76"/>
    </row>
    <row r="385" ht="15.75" customHeight="1">
      <c r="D385" s="76"/>
      <c r="E385" s="76"/>
      <c r="F385" s="76"/>
    </row>
    <row r="386" ht="15.75" customHeight="1">
      <c r="D386" s="76"/>
      <c r="E386" s="76"/>
      <c r="F386" s="76"/>
    </row>
    <row r="387" ht="15.75" customHeight="1">
      <c r="D387" s="76"/>
      <c r="E387" s="76"/>
      <c r="F387" s="76"/>
    </row>
    <row r="388" ht="15.75" customHeight="1">
      <c r="D388" s="76"/>
      <c r="E388" s="76"/>
      <c r="F388" s="76"/>
    </row>
    <row r="389" ht="15.75" customHeight="1">
      <c r="D389" s="76"/>
      <c r="E389" s="76"/>
      <c r="F389" s="76"/>
    </row>
    <row r="390" ht="15.75" customHeight="1">
      <c r="D390" s="76"/>
      <c r="E390" s="76"/>
      <c r="F390" s="76"/>
    </row>
    <row r="391" ht="15.75" customHeight="1">
      <c r="D391" s="76"/>
      <c r="E391" s="76"/>
      <c r="F391" s="76"/>
    </row>
    <row r="392" ht="15.75" customHeight="1">
      <c r="D392" s="76"/>
      <c r="E392" s="76"/>
      <c r="F392" s="76"/>
    </row>
    <row r="393" ht="15.75" customHeight="1">
      <c r="D393" s="76"/>
      <c r="E393" s="76"/>
      <c r="F393" s="76"/>
    </row>
    <row r="394" ht="15.75" customHeight="1">
      <c r="D394" s="76"/>
      <c r="E394" s="76"/>
      <c r="F394" s="76"/>
    </row>
    <row r="395" ht="15.75" customHeight="1">
      <c r="D395" s="76"/>
      <c r="E395" s="76"/>
      <c r="F395" s="76"/>
    </row>
    <row r="396" ht="15.75" customHeight="1">
      <c r="D396" s="76"/>
      <c r="E396" s="76"/>
      <c r="F396" s="76"/>
    </row>
    <row r="397" ht="15.75" customHeight="1">
      <c r="D397" s="76"/>
      <c r="E397" s="76"/>
      <c r="F397" s="76"/>
    </row>
    <row r="398" ht="15.75" customHeight="1">
      <c r="D398" s="76"/>
      <c r="E398" s="76"/>
      <c r="F398" s="76"/>
    </row>
    <row r="399" ht="15.75" customHeight="1">
      <c r="D399" s="76"/>
      <c r="E399" s="76"/>
      <c r="F399" s="76"/>
    </row>
    <row r="400" ht="15.75" customHeight="1">
      <c r="D400" s="76"/>
      <c r="E400" s="76"/>
      <c r="F400" s="76"/>
    </row>
    <row r="401" ht="15.75" customHeight="1">
      <c r="D401" s="76"/>
      <c r="E401" s="76"/>
      <c r="F401" s="76"/>
    </row>
    <row r="402" ht="15.75" customHeight="1">
      <c r="D402" s="76"/>
      <c r="E402" s="76"/>
      <c r="F402" s="76"/>
    </row>
    <row r="403" ht="15.75" customHeight="1">
      <c r="D403" s="76"/>
      <c r="E403" s="76"/>
      <c r="F403" s="76"/>
    </row>
    <row r="404" ht="15.75" customHeight="1">
      <c r="D404" s="76"/>
      <c r="E404" s="76"/>
      <c r="F404" s="76"/>
    </row>
    <row r="405" ht="15.75" customHeight="1">
      <c r="D405" s="76"/>
      <c r="E405" s="76"/>
      <c r="F405" s="76"/>
    </row>
    <row r="406" ht="15.75" customHeight="1">
      <c r="D406" s="76"/>
      <c r="E406" s="76"/>
      <c r="F406" s="76"/>
    </row>
    <row r="407" ht="15.75" customHeight="1">
      <c r="D407" s="76"/>
      <c r="E407" s="76"/>
      <c r="F407" s="76"/>
    </row>
    <row r="408" ht="15.75" customHeight="1">
      <c r="D408" s="76"/>
      <c r="E408" s="76"/>
      <c r="F408" s="76"/>
    </row>
    <row r="409" ht="15.75" customHeight="1">
      <c r="D409" s="76"/>
      <c r="E409" s="76"/>
      <c r="F409" s="76"/>
    </row>
    <row r="410" ht="15.75" customHeight="1">
      <c r="D410" s="76"/>
      <c r="E410" s="76"/>
      <c r="F410" s="76"/>
    </row>
    <row r="411" ht="15.75" customHeight="1">
      <c r="D411" s="76"/>
      <c r="E411" s="76"/>
      <c r="F411" s="76"/>
    </row>
    <row r="412" ht="15.75" customHeight="1">
      <c r="D412" s="76"/>
      <c r="E412" s="76"/>
      <c r="F412" s="76"/>
    </row>
    <row r="413" ht="15.75" customHeight="1">
      <c r="D413" s="76"/>
      <c r="E413" s="76"/>
      <c r="F413" s="76"/>
    </row>
    <row r="414" ht="15.75" customHeight="1">
      <c r="D414" s="76"/>
      <c r="E414" s="76"/>
      <c r="F414" s="76"/>
    </row>
    <row r="415" ht="15.75" customHeight="1">
      <c r="D415" s="76"/>
      <c r="E415" s="76"/>
      <c r="F415" s="76"/>
    </row>
    <row r="416" ht="15.75" customHeight="1">
      <c r="D416" s="76"/>
      <c r="E416" s="76"/>
      <c r="F416" s="76"/>
    </row>
    <row r="417" ht="15.75" customHeight="1">
      <c r="D417" s="76"/>
      <c r="E417" s="76"/>
      <c r="F417" s="76"/>
    </row>
    <row r="418" ht="15.75" customHeight="1">
      <c r="D418" s="76"/>
      <c r="E418" s="76"/>
      <c r="F418" s="76"/>
    </row>
    <row r="419" ht="15.75" customHeight="1">
      <c r="D419" s="76"/>
      <c r="E419" s="76"/>
      <c r="F419" s="76"/>
    </row>
    <row r="420" ht="15.75" customHeight="1">
      <c r="D420" s="76"/>
      <c r="E420" s="76"/>
      <c r="F420" s="76"/>
    </row>
    <row r="421" ht="15.75" customHeight="1">
      <c r="D421" s="76"/>
      <c r="E421" s="76"/>
      <c r="F421" s="76"/>
    </row>
    <row r="422" ht="15.75" customHeight="1">
      <c r="D422" s="76"/>
      <c r="E422" s="76"/>
      <c r="F422" s="76"/>
    </row>
    <row r="423" ht="15.75" customHeight="1">
      <c r="D423" s="76"/>
      <c r="E423" s="76"/>
      <c r="F423" s="76"/>
    </row>
    <row r="424" ht="15.75" customHeight="1">
      <c r="D424" s="76"/>
      <c r="E424" s="76"/>
      <c r="F424" s="76"/>
    </row>
    <row r="425" ht="15.75" customHeight="1">
      <c r="D425" s="76"/>
      <c r="E425" s="76"/>
      <c r="F425" s="76"/>
    </row>
    <row r="426" ht="15.75" customHeight="1">
      <c r="D426" s="76"/>
      <c r="E426" s="76"/>
      <c r="F426" s="76"/>
    </row>
    <row r="427" ht="15.75" customHeight="1">
      <c r="D427" s="76"/>
      <c r="E427" s="76"/>
      <c r="F427" s="76"/>
    </row>
    <row r="428" ht="15.75" customHeight="1">
      <c r="D428" s="76"/>
      <c r="E428" s="76"/>
      <c r="F428" s="76"/>
    </row>
    <row r="429" ht="15.75" customHeight="1">
      <c r="D429" s="76"/>
      <c r="E429" s="76"/>
      <c r="F429" s="76"/>
    </row>
    <row r="430" ht="15.75" customHeight="1">
      <c r="D430" s="76"/>
      <c r="E430" s="76"/>
      <c r="F430" s="76"/>
    </row>
    <row r="431" ht="15.75" customHeight="1">
      <c r="D431" s="76"/>
      <c r="E431" s="76"/>
      <c r="F431" s="76"/>
    </row>
    <row r="432" ht="15.75" customHeight="1">
      <c r="D432" s="76"/>
      <c r="E432" s="76"/>
      <c r="F432" s="76"/>
    </row>
    <row r="433" ht="15.75" customHeight="1">
      <c r="D433" s="76"/>
      <c r="E433" s="76"/>
      <c r="F433" s="76"/>
    </row>
    <row r="434" ht="15.75" customHeight="1">
      <c r="D434" s="76"/>
      <c r="E434" s="76"/>
      <c r="F434" s="76"/>
    </row>
    <row r="435" ht="15.75" customHeight="1">
      <c r="D435" s="76"/>
      <c r="E435" s="76"/>
      <c r="F435" s="76"/>
    </row>
    <row r="436" ht="15.75" customHeight="1">
      <c r="D436" s="76"/>
      <c r="E436" s="76"/>
      <c r="F436" s="76"/>
    </row>
    <row r="437" ht="15.75" customHeight="1">
      <c r="D437" s="76"/>
      <c r="E437" s="76"/>
      <c r="F437" s="76"/>
    </row>
    <row r="438" ht="15.75" customHeight="1">
      <c r="D438" s="76"/>
      <c r="E438" s="76"/>
      <c r="F438" s="76"/>
    </row>
    <row r="439" ht="15.75" customHeight="1">
      <c r="D439" s="76"/>
      <c r="E439" s="76"/>
      <c r="F439" s="76"/>
    </row>
    <row r="440" ht="15.75" customHeight="1">
      <c r="D440" s="76"/>
      <c r="E440" s="76"/>
      <c r="F440" s="76"/>
    </row>
    <row r="441" ht="15.75" customHeight="1">
      <c r="D441" s="76"/>
      <c r="E441" s="76"/>
      <c r="F441" s="76"/>
    </row>
    <row r="442" ht="15.75" customHeight="1">
      <c r="D442" s="76"/>
      <c r="E442" s="76"/>
      <c r="F442" s="76"/>
    </row>
    <row r="443" ht="15.75" customHeight="1">
      <c r="D443" s="76"/>
      <c r="E443" s="76"/>
      <c r="F443" s="76"/>
    </row>
    <row r="444" ht="15.75" customHeight="1">
      <c r="D444" s="76"/>
      <c r="E444" s="76"/>
      <c r="F444" s="76"/>
    </row>
    <row r="445" ht="15.75" customHeight="1">
      <c r="D445" s="76"/>
      <c r="E445" s="76"/>
      <c r="F445" s="76"/>
    </row>
    <row r="446" ht="15.75" customHeight="1">
      <c r="D446" s="76"/>
      <c r="E446" s="76"/>
      <c r="F446" s="76"/>
    </row>
    <row r="447" ht="15.75" customHeight="1">
      <c r="D447" s="76"/>
      <c r="E447" s="76"/>
      <c r="F447" s="76"/>
    </row>
    <row r="448" ht="15.75" customHeight="1">
      <c r="D448" s="76"/>
      <c r="E448" s="76"/>
      <c r="F448" s="76"/>
    </row>
    <row r="449" ht="15.75" customHeight="1">
      <c r="D449" s="76"/>
      <c r="E449" s="76"/>
      <c r="F449" s="76"/>
    </row>
    <row r="450" ht="15.75" customHeight="1">
      <c r="D450" s="76"/>
      <c r="E450" s="76"/>
      <c r="F450" s="76"/>
    </row>
    <row r="451" ht="15.75" customHeight="1">
      <c r="D451" s="76"/>
      <c r="E451" s="76"/>
      <c r="F451" s="76"/>
    </row>
    <row r="452" ht="15.75" customHeight="1">
      <c r="D452" s="76"/>
      <c r="E452" s="76"/>
      <c r="F452" s="76"/>
    </row>
    <row r="453" ht="15.75" customHeight="1">
      <c r="D453" s="76"/>
      <c r="E453" s="76"/>
      <c r="F453" s="76"/>
    </row>
    <row r="454" ht="15.75" customHeight="1">
      <c r="D454" s="76"/>
      <c r="E454" s="76"/>
      <c r="F454" s="76"/>
    </row>
    <row r="455" ht="15.75" customHeight="1">
      <c r="D455" s="76"/>
      <c r="E455" s="76"/>
      <c r="F455" s="76"/>
    </row>
    <row r="456" ht="15.75" customHeight="1">
      <c r="D456" s="76"/>
      <c r="E456" s="76"/>
      <c r="F456" s="76"/>
    </row>
    <row r="457" ht="15.75" customHeight="1">
      <c r="D457" s="76"/>
      <c r="E457" s="76"/>
      <c r="F457" s="76"/>
    </row>
    <row r="458" ht="15.75" customHeight="1">
      <c r="D458" s="76"/>
      <c r="E458" s="76"/>
      <c r="F458" s="76"/>
    </row>
    <row r="459" ht="15.75" customHeight="1">
      <c r="D459" s="76"/>
      <c r="E459" s="76"/>
      <c r="F459" s="76"/>
    </row>
    <row r="460" ht="15.75" customHeight="1">
      <c r="D460" s="76"/>
      <c r="E460" s="76"/>
      <c r="F460" s="76"/>
    </row>
    <row r="461" ht="15.75" customHeight="1">
      <c r="D461" s="76"/>
      <c r="E461" s="76"/>
      <c r="F461" s="76"/>
    </row>
    <row r="462" ht="15.75" customHeight="1">
      <c r="D462" s="76"/>
      <c r="E462" s="76"/>
      <c r="F462" s="76"/>
    </row>
    <row r="463" ht="15.75" customHeight="1">
      <c r="D463" s="76"/>
      <c r="E463" s="76"/>
      <c r="F463" s="76"/>
    </row>
    <row r="464" ht="15.75" customHeight="1">
      <c r="D464" s="76"/>
      <c r="E464" s="76"/>
      <c r="F464" s="76"/>
    </row>
    <row r="465" ht="15.75" customHeight="1">
      <c r="D465" s="76"/>
      <c r="E465" s="76"/>
      <c r="F465" s="76"/>
    </row>
    <row r="466" ht="15.75" customHeight="1">
      <c r="D466" s="76"/>
      <c r="E466" s="76"/>
      <c r="F466" s="76"/>
    </row>
    <row r="467" ht="15.75" customHeight="1">
      <c r="D467" s="76"/>
      <c r="E467" s="76"/>
      <c r="F467" s="76"/>
    </row>
    <row r="468" ht="15.75" customHeight="1">
      <c r="D468" s="76"/>
      <c r="E468" s="76"/>
      <c r="F468" s="76"/>
    </row>
    <row r="469" ht="15.75" customHeight="1">
      <c r="D469" s="76"/>
      <c r="E469" s="76"/>
      <c r="F469" s="76"/>
    </row>
    <row r="470" ht="15.75" customHeight="1">
      <c r="D470" s="76"/>
      <c r="E470" s="76"/>
      <c r="F470" s="76"/>
    </row>
    <row r="471" ht="15.75" customHeight="1">
      <c r="D471" s="76"/>
      <c r="E471" s="76"/>
      <c r="F471" s="76"/>
    </row>
    <row r="472" ht="15.75" customHeight="1">
      <c r="D472" s="76"/>
      <c r="E472" s="76"/>
      <c r="F472" s="76"/>
    </row>
    <row r="473" ht="15.75" customHeight="1">
      <c r="D473" s="76"/>
      <c r="E473" s="76"/>
      <c r="F473" s="76"/>
    </row>
    <row r="474" ht="15.75" customHeight="1">
      <c r="D474" s="76"/>
      <c r="E474" s="76"/>
      <c r="F474" s="76"/>
    </row>
    <row r="475" ht="15.75" customHeight="1">
      <c r="D475" s="76"/>
      <c r="E475" s="76"/>
      <c r="F475" s="76"/>
    </row>
    <row r="476" ht="15.75" customHeight="1">
      <c r="D476" s="76"/>
      <c r="E476" s="76"/>
      <c r="F476" s="76"/>
    </row>
    <row r="477" ht="15.75" customHeight="1">
      <c r="D477" s="76"/>
      <c r="E477" s="76"/>
      <c r="F477" s="76"/>
    </row>
    <row r="478" ht="15.75" customHeight="1">
      <c r="D478" s="76"/>
      <c r="E478" s="76"/>
      <c r="F478" s="76"/>
    </row>
    <row r="479" ht="15.75" customHeight="1">
      <c r="D479" s="76"/>
      <c r="E479" s="76"/>
      <c r="F479" s="76"/>
    </row>
    <row r="480" ht="15.75" customHeight="1">
      <c r="D480" s="76"/>
      <c r="E480" s="76"/>
      <c r="F480" s="76"/>
    </row>
    <row r="481" ht="15.75" customHeight="1">
      <c r="D481" s="76"/>
      <c r="E481" s="76"/>
      <c r="F481" s="76"/>
    </row>
    <row r="482" ht="15.75" customHeight="1">
      <c r="D482" s="76"/>
      <c r="E482" s="76"/>
      <c r="F482" s="76"/>
    </row>
    <row r="483" ht="15.75" customHeight="1">
      <c r="D483" s="76"/>
      <c r="E483" s="76"/>
      <c r="F483" s="76"/>
    </row>
    <row r="484" ht="15.75" customHeight="1">
      <c r="D484" s="76"/>
      <c r="E484" s="76"/>
      <c r="F484" s="76"/>
    </row>
    <row r="485" ht="15.75" customHeight="1">
      <c r="D485" s="76"/>
      <c r="E485" s="76"/>
      <c r="F485" s="76"/>
    </row>
    <row r="486" ht="15.75" customHeight="1">
      <c r="D486" s="76"/>
      <c r="E486" s="76"/>
      <c r="F486" s="76"/>
    </row>
    <row r="487" ht="15.75" customHeight="1">
      <c r="D487" s="76"/>
      <c r="E487" s="76"/>
      <c r="F487" s="76"/>
    </row>
    <row r="488" ht="15.75" customHeight="1">
      <c r="D488" s="76"/>
      <c r="E488" s="76"/>
      <c r="F488" s="76"/>
    </row>
    <row r="489" ht="15.75" customHeight="1">
      <c r="D489" s="76"/>
      <c r="E489" s="76"/>
      <c r="F489" s="76"/>
    </row>
    <row r="490" ht="15.75" customHeight="1">
      <c r="D490" s="76"/>
      <c r="E490" s="76"/>
      <c r="F490" s="76"/>
    </row>
    <row r="491" ht="15.75" customHeight="1">
      <c r="D491" s="76"/>
      <c r="E491" s="76"/>
      <c r="F491" s="76"/>
    </row>
    <row r="492" ht="15.75" customHeight="1">
      <c r="D492" s="76"/>
      <c r="E492" s="76"/>
      <c r="F492" s="76"/>
    </row>
    <row r="493" ht="15.75" customHeight="1">
      <c r="D493" s="76"/>
      <c r="E493" s="76"/>
      <c r="F493" s="76"/>
    </row>
    <row r="494" ht="15.75" customHeight="1">
      <c r="D494" s="76"/>
      <c r="E494" s="76"/>
      <c r="F494" s="76"/>
    </row>
    <row r="495" ht="15.75" customHeight="1">
      <c r="D495" s="76"/>
      <c r="E495" s="76"/>
      <c r="F495" s="76"/>
    </row>
    <row r="496" ht="15.75" customHeight="1">
      <c r="D496" s="76"/>
      <c r="E496" s="76"/>
      <c r="F496" s="76"/>
    </row>
    <row r="497" ht="15.75" customHeight="1">
      <c r="D497" s="76"/>
      <c r="E497" s="76"/>
      <c r="F497" s="76"/>
    </row>
    <row r="498" ht="15.75" customHeight="1">
      <c r="D498" s="76"/>
      <c r="E498" s="76"/>
      <c r="F498" s="76"/>
    </row>
    <row r="499" ht="15.75" customHeight="1">
      <c r="D499" s="76"/>
      <c r="E499" s="76"/>
      <c r="F499" s="76"/>
    </row>
    <row r="500" ht="15.75" customHeight="1">
      <c r="D500" s="76"/>
      <c r="E500" s="76"/>
      <c r="F500" s="76"/>
    </row>
    <row r="501" ht="15.75" customHeight="1">
      <c r="D501" s="76"/>
      <c r="E501" s="76"/>
      <c r="F501" s="76"/>
    </row>
    <row r="502" ht="15.75" customHeight="1">
      <c r="D502" s="76"/>
      <c r="E502" s="76"/>
      <c r="F502" s="76"/>
    </row>
    <row r="503" ht="15.75" customHeight="1">
      <c r="D503" s="76"/>
      <c r="E503" s="76"/>
      <c r="F503" s="76"/>
    </row>
    <row r="504" ht="15.75" customHeight="1">
      <c r="D504" s="76"/>
      <c r="E504" s="76"/>
      <c r="F504" s="76"/>
    </row>
    <row r="505" ht="15.75" customHeight="1">
      <c r="D505" s="76"/>
      <c r="E505" s="76"/>
      <c r="F505" s="76"/>
    </row>
    <row r="506" ht="15.75" customHeight="1">
      <c r="D506" s="76"/>
      <c r="E506" s="76"/>
      <c r="F506" s="76"/>
    </row>
    <row r="507" ht="15.75" customHeight="1">
      <c r="D507" s="76"/>
      <c r="E507" s="76"/>
      <c r="F507" s="76"/>
    </row>
    <row r="508" ht="15.75" customHeight="1">
      <c r="D508" s="76"/>
      <c r="E508" s="76"/>
      <c r="F508" s="76"/>
    </row>
    <row r="509" ht="15.75" customHeight="1">
      <c r="D509" s="76"/>
      <c r="E509" s="76"/>
      <c r="F509" s="76"/>
    </row>
    <row r="510" ht="15.75" customHeight="1">
      <c r="D510" s="76"/>
      <c r="E510" s="76"/>
      <c r="F510" s="76"/>
    </row>
    <row r="511" ht="15.75" customHeight="1">
      <c r="D511" s="76"/>
      <c r="E511" s="76"/>
      <c r="F511" s="76"/>
    </row>
    <row r="512" ht="15.75" customHeight="1">
      <c r="D512" s="76"/>
      <c r="E512" s="76"/>
      <c r="F512" s="76"/>
    </row>
    <row r="513" ht="15.75" customHeight="1">
      <c r="D513" s="76"/>
      <c r="E513" s="76"/>
      <c r="F513" s="76"/>
    </row>
    <row r="514" ht="15.75" customHeight="1">
      <c r="D514" s="76"/>
      <c r="E514" s="76"/>
      <c r="F514" s="76"/>
    </row>
    <row r="515" ht="15.75" customHeight="1">
      <c r="D515" s="76"/>
      <c r="E515" s="76"/>
      <c r="F515" s="76"/>
    </row>
    <row r="516" ht="15.75" customHeight="1">
      <c r="D516" s="76"/>
      <c r="E516" s="76"/>
      <c r="F516" s="76"/>
    </row>
    <row r="517" ht="15.75" customHeight="1">
      <c r="D517" s="76"/>
      <c r="E517" s="76"/>
      <c r="F517" s="76"/>
    </row>
    <row r="518" ht="15.75" customHeight="1">
      <c r="D518" s="76"/>
      <c r="E518" s="76"/>
      <c r="F518" s="76"/>
    </row>
    <row r="519" ht="15.75" customHeight="1">
      <c r="D519" s="76"/>
      <c r="E519" s="76"/>
      <c r="F519" s="76"/>
    </row>
    <row r="520" ht="15.75" customHeight="1">
      <c r="D520" s="76"/>
      <c r="E520" s="76"/>
      <c r="F520" s="76"/>
    </row>
    <row r="521" ht="15.75" customHeight="1">
      <c r="D521" s="76"/>
      <c r="E521" s="76"/>
      <c r="F521" s="76"/>
    </row>
    <row r="522" ht="15.75" customHeight="1">
      <c r="D522" s="76"/>
      <c r="E522" s="76"/>
      <c r="F522" s="76"/>
    </row>
    <row r="523" ht="15.75" customHeight="1">
      <c r="D523" s="76"/>
      <c r="E523" s="76"/>
      <c r="F523" s="76"/>
    </row>
    <row r="524" ht="15.75" customHeight="1">
      <c r="D524" s="76"/>
      <c r="E524" s="76"/>
      <c r="F524" s="76"/>
    </row>
    <row r="525" ht="15.75" customHeight="1">
      <c r="D525" s="76"/>
      <c r="E525" s="76"/>
      <c r="F525" s="76"/>
    </row>
    <row r="526" ht="15.75" customHeight="1">
      <c r="D526" s="76"/>
      <c r="E526" s="76"/>
      <c r="F526" s="76"/>
    </row>
    <row r="527" ht="15.75" customHeight="1">
      <c r="D527" s="76"/>
      <c r="E527" s="76"/>
      <c r="F527" s="76"/>
    </row>
    <row r="528" ht="15.75" customHeight="1">
      <c r="D528" s="76"/>
      <c r="E528" s="76"/>
      <c r="F528" s="76"/>
    </row>
    <row r="529" ht="15.75" customHeight="1">
      <c r="D529" s="76"/>
      <c r="E529" s="76"/>
      <c r="F529" s="76"/>
    </row>
    <row r="530" ht="15.75" customHeight="1">
      <c r="D530" s="76"/>
      <c r="E530" s="76"/>
      <c r="F530" s="76"/>
    </row>
    <row r="531" ht="15.75" customHeight="1">
      <c r="D531" s="76"/>
      <c r="E531" s="76"/>
      <c r="F531" s="76"/>
    </row>
    <row r="532" ht="15.75" customHeight="1">
      <c r="D532" s="76"/>
      <c r="E532" s="76"/>
      <c r="F532" s="76"/>
    </row>
    <row r="533" ht="15.75" customHeight="1">
      <c r="D533" s="76"/>
      <c r="E533" s="76"/>
      <c r="F533" s="76"/>
    </row>
    <row r="534" ht="15.75" customHeight="1">
      <c r="D534" s="76"/>
      <c r="E534" s="76"/>
      <c r="F534" s="76"/>
    </row>
    <row r="535" ht="15.75" customHeight="1">
      <c r="D535" s="76"/>
      <c r="E535" s="76"/>
      <c r="F535" s="76"/>
    </row>
    <row r="536" ht="15.75" customHeight="1">
      <c r="D536" s="76"/>
      <c r="E536" s="76"/>
      <c r="F536" s="76"/>
    </row>
    <row r="537" ht="15.75" customHeight="1">
      <c r="D537" s="76"/>
      <c r="E537" s="76"/>
      <c r="F537" s="76"/>
    </row>
    <row r="538" ht="15.75" customHeight="1">
      <c r="D538" s="76"/>
      <c r="E538" s="76"/>
      <c r="F538" s="76"/>
    </row>
    <row r="539" ht="15.75" customHeight="1">
      <c r="D539" s="76"/>
      <c r="E539" s="76"/>
      <c r="F539" s="76"/>
    </row>
    <row r="540" ht="15.75" customHeight="1">
      <c r="D540" s="76"/>
      <c r="E540" s="76"/>
      <c r="F540" s="76"/>
    </row>
    <row r="541" ht="15.75" customHeight="1">
      <c r="D541" s="76"/>
      <c r="E541" s="76"/>
      <c r="F541" s="76"/>
    </row>
    <row r="542" ht="15.75" customHeight="1">
      <c r="D542" s="76"/>
      <c r="E542" s="76"/>
      <c r="F542" s="76"/>
    </row>
    <row r="543" ht="15.75" customHeight="1">
      <c r="D543" s="76"/>
      <c r="E543" s="76"/>
      <c r="F543" s="76"/>
    </row>
    <row r="544" ht="15.75" customHeight="1">
      <c r="D544" s="76"/>
      <c r="E544" s="76"/>
      <c r="F544" s="76"/>
    </row>
    <row r="545" ht="15.75" customHeight="1">
      <c r="D545" s="76"/>
      <c r="E545" s="76"/>
      <c r="F545" s="76"/>
    </row>
    <row r="546" ht="15.75" customHeight="1">
      <c r="D546" s="76"/>
      <c r="E546" s="76"/>
      <c r="F546" s="76"/>
    </row>
    <row r="547" ht="15.75" customHeight="1">
      <c r="D547" s="76"/>
      <c r="E547" s="76"/>
      <c r="F547" s="76"/>
    </row>
    <row r="548" ht="15.75" customHeight="1">
      <c r="D548" s="76"/>
      <c r="E548" s="76"/>
      <c r="F548" s="76"/>
    </row>
    <row r="549" ht="15.75" customHeight="1">
      <c r="D549" s="76"/>
      <c r="E549" s="76"/>
      <c r="F549" s="76"/>
    </row>
    <row r="550" ht="15.75" customHeight="1">
      <c r="D550" s="76"/>
      <c r="E550" s="76"/>
      <c r="F550" s="76"/>
    </row>
    <row r="551" ht="15.75" customHeight="1">
      <c r="D551" s="76"/>
      <c r="E551" s="76"/>
      <c r="F551" s="76"/>
    </row>
    <row r="552" ht="15.75" customHeight="1">
      <c r="D552" s="76"/>
      <c r="E552" s="76"/>
      <c r="F552" s="76"/>
    </row>
    <row r="553" ht="15.75" customHeight="1">
      <c r="D553" s="76"/>
      <c r="E553" s="76"/>
      <c r="F553" s="76"/>
    </row>
    <row r="554" ht="15.75" customHeight="1">
      <c r="D554" s="76"/>
      <c r="E554" s="76"/>
      <c r="F554" s="76"/>
    </row>
    <row r="555" ht="15.75" customHeight="1">
      <c r="D555" s="76"/>
      <c r="E555" s="76"/>
      <c r="F555" s="76"/>
    </row>
    <row r="556" ht="15.75" customHeight="1">
      <c r="D556" s="76"/>
      <c r="E556" s="76"/>
      <c r="F556" s="76"/>
    </row>
    <row r="557" ht="15.75" customHeight="1">
      <c r="D557" s="76"/>
      <c r="E557" s="76"/>
      <c r="F557" s="76"/>
    </row>
    <row r="558" ht="15.75" customHeight="1">
      <c r="D558" s="76"/>
      <c r="E558" s="76"/>
      <c r="F558" s="76"/>
    </row>
    <row r="559" ht="15.75" customHeight="1">
      <c r="D559" s="76"/>
      <c r="E559" s="76"/>
      <c r="F559" s="76"/>
    </row>
    <row r="560" ht="15.75" customHeight="1">
      <c r="D560" s="76"/>
      <c r="E560" s="76"/>
      <c r="F560" s="76"/>
    </row>
    <row r="561" ht="15.75" customHeight="1">
      <c r="D561" s="76"/>
      <c r="E561" s="76"/>
      <c r="F561" s="76"/>
    </row>
    <row r="562" ht="15.75" customHeight="1">
      <c r="D562" s="76"/>
      <c r="E562" s="76"/>
      <c r="F562" s="76"/>
    </row>
    <row r="563" ht="15.75" customHeight="1">
      <c r="D563" s="76"/>
      <c r="E563" s="76"/>
      <c r="F563" s="76"/>
    </row>
    <row r="564" ht="15.75" customHeight="1">
      <c r="D564" s="76"/>
      <c r="E564" s="76"/>
      <c r="F564" s="76"/>
    </row>
    <row r="565" ht="15.75" customHeight="1">
      <c r="D565" s="76"/>
      <c r="E565" s="76"/>
      <c r="F565" s="76"/>
    </row>
    <row r="566" ht="15.75" customHeight="1">
      <c r="D566" s="76"/>
      <c r="E566" s="76"/>
      <c r="F566" s="76"/>
    </row>
    <row r="567" ht="15.75" customHeight="1">
      <c r="D567" s="76"/>
      <c r="E567" s="76"/>
      <c r="F567" s="76"/>
    </row>
    <row r="568" ht="15.75" customHeight="1">
      <c r="D568" s="76"/>
      <c r="E568" s="76"/>
      <c r="F568" s="76"/>
    </row>
    <row r="569" ht="15.75" customHeight="1">
      <c r="D569" s="76"/>
      <c r="E569" s="76"/>
      <c r="F569" s="76"/>
    </row>
    <row r="570" ht="15.75" customHeight="1">
      <c r="D570" s="76"/>
      <c r="E570" s="76"/>
      <c r="F570" s="76"/>
    </row>
    <row r="571" ht="15.75" customHeight="1">
      <c r="D571" s="76"/>
      <c r="E571" s="76"/>
      <c r="F571" s="76"/>
    </row>
    <row r="572" ht="15.75" customHeight="1">
      <c r="D572" s="76"/>
      <c r="E572" s="76"/>
      <c r="F572" s="76"/>
    </row>
    <row r="573" ht="15.75" customHeight="1">
      <c r="D573" s="76"/>
      <c r="E573" s="76"/>
      <c r="F573" s="76"/>
    </row>
    <row r="574" ht="15.75" customHeight="1">
      <c r="D574" s="76"/>
      <c r="E574" s="76"/>
      <c r="F574" s="76"/>
    </row>
    <row r="575" ht="15.75" customHeight="1">
      <c r="D575" s="76"/>
      <c r="E575" s="76"/>
      <c r="F575" s="76"/>
    </row>
    <row r="576" ht="15.75" customHeight="1">
      <c r="D576" s="76"/>
      <c r="E576" s="76"/>
      <c r="F576" s="76"/>
    </row>
    <row r="577" ht="15.75" customHeight="1">
      <c r="D577" s="76"/>
      <c r="E577" s="76"/>
      <c r="F577" s="76"/>
    </row>
    <row r="578" ht="15.75" customHeight="1">
      <c r="D578" s="76"/>
      <c r="E578" s="76"/>
      <c r="F578" s="76"/>
    </row>
    <row r="579" ht="15.75" customHeight="1">
      <c r="D579" s="76"/>
      <c r="E579" s="76"/>
      <c r="F579" s="76"/>
    </row>
    <row r="580" ht="15.75" customHeight="1">
      <c r="D580" s="76"/>
      <c r="E580" s="76"/>
      <c r="F580" s="76"/>
    </row>
    <row r="581" ht="15.75" customHeight="1">
      <c r="D581" s="76"/>
      <c r="E581" s="76"/>
      <c r="F581" s="76"/>
    </row>
    <row r="582" ht="15.75" customHeight="1">
      <c r="D582" s="76"/>
      <c r="E582" s="76"/>
      <c r="F582" s="76"/>
    </row>
    <row r="583" ht="15.75" customHeight="1">
      <c r="D583" s="76"/>
      <c r="E583" s="76"/>
      <c r="F583" s="76"/>
    </row>
    <row r="584" ht="15.75" customHeight="1">
      <c r="D584" s="76"/>
      <c r="E584" s="76"/>
      <c r="F584" s="76"/>
    </row>
    <row r="585" ht="15.75" customHeight="1">
      <c r="D585" s="76"/>
      <c r="E585" s="76"/>
      <c r="F585" s="76"/>
    </row>
    <row r="586" ht="15.75" customHeight="1">
      <c r="D586" s="76"/>
      <c r="E586" s="76"/>
      <c r="F586" s="76"/>
    </row>
    <row r="587" ht="15.75" customHeight="1">
      <c r="D587" s="76"/>
      <c r="E587" s="76"/>
      <c r="F587" s="76"/>
    </row>
    <row r="588" ht="15.75" customHeight="1">
      <c r="D588" s="76"/>
      <c r="E588" s="76"/>
      <c r="F588" s="76"/>
    </row>
    <row r="589" ht="15.75" customHeight="1">
      <c r="D589" s="76"/>
      <c r="E589" s="76"/>
      <c r="F589" s="76"/>
    </row>
    <row r="590" ht="15.75" customHeight="1">
      <c r="D590" s="76"/>
      <c r="E590" s="76"/>
      <c r="F590" s="76"/>
    </row>
    <row r="591" ht="15.75" customHeight="1">
      <c r="D591" s="76"/>
      <c r="E591" s="76"/>
      <c r="F591" s="76"/>
    </row>
    <row r="592" ht="15.75" customHeight="1">
      <c r="D592" s="76"/>
      <c r="E592" s="76"/>
      <c r="F592" s="76"/>
    </row>
    <row r="593" ht="15.75" customHeight="1">
      <c r="D593" s="76"/>
      <c r="E593" s="76"/>
      <c r="F593" s="76"/>
    </row>
    <row r="594" ht="15.75" customHeight="1">
      <c r="D594" s="76"/>
      <c r="E594" s="76"/>
      <c r="F594" s="76"/>
    </row>
    <row r="595" ht="15.75" customHeight="1">
      <c r="D595" s="76"/>
      <c r="E595" s="76"/>
      <c r="F595" s="76"/>
    </row>
    <row r="596" ht="15.75" customHeight="1">
      <c r="D596" s="76"/>
      <c r="E596" s="76"/>
      <c r="F596" s="76"/>
    </row>
    <row r="597" ht="15.75" customHeight="1">
      <c r="D597" s="76"/>
      <c r="E597" s="76"/>
      <c r="F597" s="76"/>
    </row>
    <row r="598" ht="15.75" customHeight="1">
      <c r="D598" s="76"/>
      <c r="E598" s="76"/>
      <c r="F598" s="76"/>
    </row>
    <row r="599" ht="15.75" customHeight="1">
      <c r="D599" s="76"/>
      <c r="E599" s="76"/>
      <c r="F599" s="76"/>
    </row>
    <row r="600" ht="15.75" customHeight="1">
      <c r="D600" s="76"/>
      <c r="E600" s="76"/>
      <c r="F600" s="76"/>
    </row>
    <row r="601" ht="15.75" customHeight="1">
      <c r="D601" s="76"/>
      <c r="E601" s="76"/>
      <c r="F601" s="76"/>
    </row>
    <row r="602" ht="15.75" customHeight="1">
      <c r="D602" s="76"/>
      <c r="E602" s="76"/>
      <c r="F602" s="76"/>
    </row>
    <row r="603" ht="15.75" customHeight="1">
      <c r="D603" s="76"/>
      <c r="E603" s="76"/>
      <c r="F603" s="76"/>
    </row>
    <row r="604" ht="15.75" customHeight="1">
      <c r="D604" s="76"/>
      <c r="E604" s="76"/>
      <c r="F604" s="76"/>
    </row>
    <row r="605" ht="15.75" customHeight="1">
      <c r="D605" s="76"/>
      <c r="E605" s="76"/>
      <c r="F605" s="76"/>
    </row>
    <row r="606" ht="15.75" customHeight="1">
      <c r="D606" s="76"/>
      <c r="E606" s="76"/>
      <c r="F606" s="76"/>
    </row>
    <row r="607" ht="15.75" customHeight="1">
      <c r="D607" s="76"/>
      <c r="E607" s="76"/>
      <c r="F607" s="76"/>
    </row>
    <row r="608" ht="15.75" customHeight="1">
      <c r="D608" s="76"/>
      <c r="E608" s="76"/>
      <c r="F608" s="76"/>
    </row>
    <row r="609" ht="15.75" customHeight="1">
      <c r="D609" s="76"/>
      <c r="E609" s="76"/>
      <c r="F609" s="76"/>
    </row>
    <row r="610" ht="15.75" customHeight="1">
      <c r="D610" s="76"/>
      <c r="E610" s="76"/>
      <c r="F610" s="76"/>
    </row>
    <row r="611" ht="15.75" customHeight="1">
      <c r="D611" s="76"/>
      <c r="E611" s="76"/>
      <c r="F611" s="76"/>
    </row>
    <row r="612" ht="15.75" customHeight="1">
      <c r="D612" s="76"/>
      <c r="E612" s="76"/>
      <c r="F612" s="76"/>
    </row>
    <row r="613" ht="15.75" customHeight="1">
      <c r="D613" s="76"/>
      <c r="E613" s="76"/>
      <c r="F613" s="76"/>
    </row>
    <row r="614" ht="15.75" customHeight="1">
      <c r="D614" s="76"/>
      <c r="E614" s="76"/>
      <c r="F614" s="76"/>
    </row>
    <row r="615" ht="15.75" customHeight="1">
      <c r="D615" s="76"/>
      <c r="E615" s="76"/>
      <c r="F615" s="76"/>
    </row>
    <row r="616" ht="15.75" customHeight="1">
      <c r="D616" s="76"/>
      <c r="E616" s="76"/>
      <c r="F616" s="76"/>
    </row>
    <row r="617" ht="15.75" customHeight="1">
      <c r="D617" s="76"/>
      <c r="E617" s="76"/>
      <c r="F617" s="76"/>
    </row>
    <row r="618" ht="15.75" customHeight="1">
      <c r="D618" s="76"/>
      <c r="E618" s="76"/>
      <c r="F618" s="76"/>
    </row>
    <row r="619" ht="15.75" customHeight="1">
      <c r="D619" s="76"/>
      <c r="E619" s="76"/>
      <c r="F619" s="76"/>
    </row>
    <row r="620" ht="15.75" customHeight="1">
      <c r="D620" s="76"/>
      <c r="E620" s="76"/>
      <c r="F620" s="76"/>
    </row>
    <row r="621" ht="15.75" customHeight="1">
      <c r="D621" s="76"/>
      <c r="E621" s="76"/>
      <c r="F621" s="76"/>
    </row>
    <row r="622" ht="15.75" customHeight="1">
      <c r="D622" s="76"/>
      <c r="E622" s="76"/>
      <c r="F622" s="76"/>
    </row>
    <row r="623" ht="15.75" customHeight="1">
      <c r="D623" s="76"/>
      <c r="E623" s="76"/>
      <c r="F623" s="76"/>
    </row>
    <row r="624" ht="15.75" customHeight="1">
      <c r="D624" s="76"/>
      <c r="E624" s="76"/>
      <c r="F624" s="76"/>
    </row>
    <row r="625" ht="15.75" customHeight="1">
      <c r="D625" s="76"/>
      <c r="E625" s="76"/>
      <c r="F625" s="76"/>
    </row>
    <row r="626" ht="15.75" customHeight="1">
      <c r="D626" s="76"/>
      <c r="E626" s="76"/>
      <c r="F626" s="76"/>
    </row>
    <row r="627" ht="15.75" customHeight="1">
      <c r="D627" s="76"/>
      <c r="E627" s="76"/>
      <c r="F627" s="76"/>
    </row>
    <row r="628" ht="15.75" customHeight="1">
      <c r="D628" s="76"/>
      <c r="E628" s="76"/>
      <c r="F628" s="76"/>
    </row>
    <row r="629" ht="15.75" customHeight="1">
      <c r="D629" s="76"/>
      <c r="E629" s="76"/>
      <c r="F629" s="76"/>
    </row>
    <row r="630" ht="15.75" customHeight="1">
      <c r="D630" s="76"/>
      <c r="E630" s="76"/>
      <c r="F630" s="76"/>
    </row>
    <row r="631" ht="15.75" customHeight="1">
      <c r="D631" s="76"/>
      <c r="E631" s="76"/>
      <c r="F631" s="76"/>
    </row>
    <row r="632" ht="15.75" customHeight="1">
      <c r="D632" s="76"/>
      <c r="E632" s="76"/>
      <c r="F632" s="76"/>
    </row>
    <row r="633" ht="15.75" customHeight="1">
      <c r="D633" s="76"/>
      <c r="E633" s="76"/>
      <c r="F633" s="76"/>
    </row>
    <row r="634" ht="15.75" customHeight="1">
      <c r="D634" s="76"/>
      <c r="E634" s="76"/>
      <c r="F634" s="76"/>
    </row>
    <row r="635" ht="15.75" customHeight="1">
      <c r="D635" s="76"/>
      <c r="E635" s="76"/>
      <c r="F635" s="76"/>
    </row>
    <row r="636" ht="15.75" customHeight="1">
      <c r="D636" s="76"/>
      <c r="E636" s="76"/>
      <c r="F636" s="76"/>
    </row>
    <row r="637" ht="15.75" customHeight="1">
      <c r="D637" s="76"/>
      <c r="E637" s="76"/>
      <c r="F637" s="76"/>
    </row>
    <row r="638" ht="15.75" customHeight="1">
      <c r="D638" s="76"/>
      <c r="E638" s="76"/>
      <c r="F638" s="76"/>
    </row>
    <row r="639" ht="15.75" customHeight="1">
      <c r="D639" s="76"/>
      <c r="E639" s="76"/>
      <c r="F639" s="76"/>
    </row>
    <row r="640" ht="15.75" customHeight="1">
      <c r="D640" s="76"/>
      <c r="E640" s="76"/>
      <c r="F640" s="76"/>
    </row>
    <row r="641" ht="15.75" customHeight="1">
      <c r="D641" s="76"/>
      <c r="E641" s="76"/>
      <c r="F641" s="76"/>
    </row>
    <row r="642" ht="15.75" customHeight="1">
      <c r="D642" s="76"/>
      <c r="E642" s="76"/>
      <c r="F642" s="76"/>
    </row>
    <row r="643" ht="15.75" customHeight="1">
      <c r="D643" s="76"/>
      <c r="E643" s="76"/>
      <c r="F643" s="76"/>
    </row>
    <row r="644" ht="15.75" customHeight="1">
      <c r="D644" s="76"/>
      <c r="E644" s="76"/>
      <c r="F644" s="76"/>
    </row>
    <row r="645" ht="15.75" customHeight="1">
      <c r="D645" s="76"/>
      <c r="E645" s="76"/>
      <c r="F645" s="76"/>
    </row>
    <row r="646" ht="15.75" customHeight="1">
      <c r="D646" s="76"/>
      <c r="E646" s="76"/>
      <c r="F646" s="76"/>
    </row>
    <row r="647" ht="15.75" customHeight="1">
      <c r="D647" s="76"/>
      <c r="E647" s="76"/>
      <c r="F647" s="76"/>
    </row>
    <row r="648" ht="15.75" customHeight="1">
      <c r="D648" s="76"/>
      <c r="E648" s="76"/>
      <c r="F648" s="76"/>
    </row>
    <row r="649" ht="15.75" customHeight="1">
      <c r="D649" s="76"/>
      <c r="E649" s="76"/>
      <c r="F649" s="76"/>
    </row>
    <row r="650" ht="15.75" customHeight="1">
      <c r="D650" s="76"/>
      <c r="E650" s="76"/>
      <c r="F650" s="76"/>
    </row>
    <row r="651" ht="15.75" customHeight="1">
      <c r="D651" s="76"/>
      <c r="E651" s="76"/>
      <c r="F651" s="76"/>
    </row>
    <row r="652" ht="15.75" customHeight="1">
      <c r="D652" s="76"/>
      <c r="E652" s="76"/>
      <c r="F652" s="76"/>
    </row>
    <row r="653" ht="15.75" customHeight="1">
      <c r="D653" s="76"/>
      <c r="E653" s="76"/>
      <c r="F653" s="76"/>
    </row>
    <row r="654" ht="15.75" customHeight="1">
      <c r="D654" s="76"/>
      <c r="E654" s="76"/>
      <c r="F654" s="76"/>
    </row>
    <row r="655" ht="15.75" customHeight="1">
      <c r="D655" s="76"/>
      <c r="E655" s="76"/>
      <c r="F655" s="76"/>
    </row>
    <row r="656" ht="15.75" customHeight="1">
      <c r="D656" s="76"/>
      <c r="E656" s="76"/>
      <c r="F656" s="76"/>
    </row>
    <row r="657" ht="15.75" customHeight="1">
      <c r="D657" s="76"/>
      <c r="E657" s="76"/>
      <c r="F657" s="76"/>
    </row>
    <row r="658" ht="15.75" customHeight="1">
      <c r="D658" s="76"/>
      <c r="E658" s="76"/>
      <c r="F658" s="76"/>
    </row>
    <row r="659" ht="15.75" customHeight="1">
      <c r="D659" s="76"/>
      <c r="E659" s="76"/>
      <c r="F659" s="76"/>
    </row>
    <row r="660" ht="15.75" customHeight="1">
      <c r="D660" s="76"/>
      <c r="E660" s="76"/>
      <c r="F660" s="76"/>
    </row>
    <row r="661" ht="15.75" customHeight="1">
      <c r="D661" s="76"/>
      <c r="E661" s="76"/>
      <c r="F661" s="76"/>
    </row>
    <row r="662" ht="15.75" customHeight="1">
      <c r="D662" s="76"/>
      <c r="E662" s="76"/>
      <c r="F662" s="76"/>
    </row>
    <row r="663" ht="15.75" customHeight="1">
      <c r="D663" s="76"/>
      <c r="E663" s="76"/>
      <c r="F663" s="76"/>
    </row>
    <row r="664" ht="15.75" customHeight="1">
      <c r="D664" s="76"/>
      <c r="E664" s="76"/>
      <c r="F664" s="76"/>
    </row>
    <row r="665" ht="15.75" customHeight="1">
      <c r="D665" s="76"/>
      <c r="E665" s="76"/>
      <c r="F665" s="76"/>
    </row>
    <row r="666" ht="15.75" customHeight="1">
      <c r="D666" s="76"/>
      <c r="E666" s="76"/>
      <c r="F666" s="76"/>
    </row>
    <row r="667" ht="15.75" customHeight="1">
      <c r="D667" s="76"/>
      <c r="E667" s="76"/>
      <c r="F667" s="76"/>
    </row>
    <row r="668" ht="15.75" customHeight="1">
      <c r="D668" s="76"/>
      <c r="E668" s="76"/>
      <c r="F668" s="76"/>
    </row>
    <row r="669" ht="15.75" customHeight="1">
      <c r="D669" s="76"/>
      <c r="E669" s="76"/>
      <c r="F669" s="76"/>
    </row>
    <row r="670" ht="15.75" customHeight="1">
      <c r="D670" s="76"/>
      <c r="E670" s="76"/>
      <c r="F670" s="76"/>
    </row>
    <row r="671" ht="15.75" customHeight="1">
      <c r="D671" s="76"/>
      <c r="E671" s="76"/>
      <c r="F671" s="76"/>
    </row>
    <row r="672" ht="15.75" customHeight="1">
      <c r="D672" s="76"/>
      <c r="E672" s="76"/>
      <c r="F672" s="76"/>
    </row>
    <row r="673" ht="15.75" customHeight="1">
      <c r="D673" s="76"/>
      <c r="E673" s="76"/>
      <c r="F673" s="76"/>
    </row>
    <row r="674" ht="15.75" customHeight="1">
      <c r="D674" s="76"/>
      <c r="E674" s="76"/>
      <c r="F674" s="76"/>
    </row>
    <row r="675" ht="15.75" customHeight="1">
      <c r="D675" s="76"/>
      <c r="E675" s="76"/>
      <c r="F675" s="76"/>
    </row>
    <row r="676" ht="15.75" customHeight="1">
      <c r="D676" s="76"/>
      <c r="E676" s="76"/>
      <c r="F676" s="76"/>
    </row>
    <row r="677" ht="15.75" customHeight="1">
      <c r="D677" s="76"/>
      <c r="E677" s="76"/>
      <c r="F677" s="76"/>
    </row>
    <row r="678" ht="15.75" customHeight="1">
      <c r="D678" s="76"/>
      <c r="E678" s="76"/>
      <c r="F678" s="76"/>
    </row>
    <row r="679" ht="15.75" customHeight="1">
      <c r="D679" s="76"/>
      <c r="E679" s="76"/>
      <c r="F679" s="76"/>
    </row>
    <row r="680" ht="15.75" customHeight="1">
      <c r="D680" s="76"/>
      <c r="E680" s="76"/>
      <c r="F680" s="76"/>
    </row>
    <row r="681" ht="15.75" customHeight="1">
      <c r="D681" s="76"/>
      <c r="E681" s="76"/>
      <c r="F681" s="76"/>
    </row>
    <row r="682" ht="15.75" customHeight="1">
      <c r="D682" s="76"/>
      <c r="E682" s="76"/>
      <c r="F682" s="76"/>
    </row>
    <row r="683" ht="15.75" customHeight="1">
      <c r="D683" s="76"/>
      <c r="E683" s="76"/>
      <c r="F683" s="76"/>
    </row>
    <row r="684" ht="15.75" customHeight="1">
      <c r="D684" s="76"/>
      <c r="E684" s="76"/>
      <c r="F684" s="76"/>
    </row>
    <row r="685" ht="15.75" customHeight="1">
      <c r="D685" s="76"/>
      <c r="E685" s="76"/>
      <c r="F685" s="76"/>
    </row>
    <row r="686" ht="15.75" customHeight="1">
      <c r="D686" s="76"/>
      <c r="E686" s="76"/>
      <c r="F686" s="76"/>
    </row>
    <row r="687" ht="15.75" customHeight="1">
      <c r="D687" s="76"/>
      <c r="E687" s="76"/>
      <c r="F687" s="76"/>
    </row>
    <row r="688" ht="15.75" customHeight="1">
      <c r="D688" s="76"/>
      <c r="E688" s="76"/>
      <c r="F688" s="76"/>
    </row>
    <row r="689" ht="15.75" customHeight="1">
      <c r="D689" s="76"/>
      <c r="E689" s="76"/>
      <c r="F689" s="76"/>
    </row>
    <row r="690" ht="15.75" customHeight="1">
      <c r="D690" s="76"/>
      <c r="E690" s="76"/>
      <c r="F690" s="76"/>
    </row>
    <row r="691" ht="15.75" customHeight="1">
      <c r="D691" s="76"/>
      <c r="E691" s="76"/>
      <c r="F691" s="76"/>
    </row>
    <row r="692" ht="15.75" customHeight="1">
      <c r="D692" s="76"/>
      <c r="E692" s="76"/>
      <c r="F692" s="76"/>
    </row>
    <row r="693" ht="15.75" customHeight="1">
      <c r="D693" s="76"/>
      <c r="E693" s="76"/>
      <c r="F693" s="76"/>
    </row>
    <row r="694" ht="15.75" customHeight="1">
      <c r="D694" s="76"/>
      <c r="E694" s="76"/>
      <c r="F694" s="76"/>
    </row>
    <row r="695" ht="15.75" customHeight="1">
      <c r="D695" s="76"/>
      <c r="E695" s="76"/>
      <c r="F695" s="76"/>
    </row>
    <row r="696" ht="15.75" customHeight="1">
      <c r="D696" s="76"/>
      <c r="E696" s="76"/>
      <c r="F696" s="76"/>
    </row>
    <row r="697" ht="15.75" customHeight="1">
      <c r="D697" s="76"/>
      <c r="E697" s="76"/>
      <c r="F697" s="76"/>
    </row>
    <row r="698" ht="15.75" customHeight="1">
      <c r="D698" s="76"/>
      <c r="E698" s="76"/>
      <c r="F698" s="76"/>
    </row>
    <row r="699" ht="15.75" customHeight="1">
      <c r="D699" s="76"/>
      <c r="E699" s="76"/>
      <c r="F699" s="76"/>
    </row>
    <row r="700" ht="15.75" customHeight="1">
      <c r="D700" s="76"/>
      <c r="E700" s="76"/>
      <c r="F700" s="76"/>
    </row>
    <row r="701" ht="15.75" customHeight="1">
      <c r="D701" s="76"/>
      <c r="E701" s="76"/>
      <c r="F701" s="76"/>
    </row>
    <row r="702" ht="15.75" customHeight="1">
      <c r="D702" s="76"/>
      <c r="E702" s="76"/>
      <c r="F702" s="76"/>
    </row>
    <row r="703" ht="15.75" customHeight="1">
      <c r="D703" s="76"/>
      <c r="E703" s="76"/>
      <c r="F703" s="76"/>
    </row>
    <row r="704" ht="15.75" customHeight="1">
      <c r="D704" s="76"/>
      <c r="E704" s="76"/>
      <c r="F704" s="76"/>
    </row>
    <row r="705" ht="15.75" customHeight="1">
      <c r="D705" s="76"/>
      <c r="E705" s="76"/>
      <c r="F705" s="76"/>
    </row>
    <row r="706" ht="15.75" customHeight="1">
      <c r="D706" s="76"/>
      <c r="E706" s="76"/>
      <c r="F706" s="76"/>
    </row>
    <row r="707" ht="15.75" customHeight="1">
      <c r="D707" s="76"/>
      <c r="E707" s="76"/>
      <c r="F707" s="76"/>
    </row>
    <row r="708" ht="15.75" customHeight="1">
      <c r="D708" s="76"/>
      <c r="E708" s="76"/>
      <c r="F708" s="76"/>
    </row>
    <row r="709" ht="15.75" customHeight="1">
      <c r="D709" s="76"/>
      <c r="E709" s="76"/>
      <c r="F709" s="76"/>
    </row>
    <row r="710" ht="15.75" customHeight="1">
      <c r="D710" s="76"/>
      <c r="E710" s="76"/>
      <c r="F710" s="76"/>
    </row>
    <row r="711" ht="15.75" customHeight="1">
      <c r="D711" s="76"/>
      <c r="E711" s="76"/>
      <c r="F711" s="76"/>
    </row>
    <row r="712" ht="15.75" customHeight="1">
      <c r="D712" s="76"/>
      <c r="E712" s="76"/>
      <c r="F712" s="76"/>
    </row>
    <row r="713" ht="15.75" customHeight="1">
      <c r="D713" s="76"/>
      <c r="E713" s="76"/>
      <c r="F713" s="76"/>
    </row>
    <row r="714" ht="15.75" customHeight="1">
      <c r="D714" s="76"/>
      <c r="E714" s="76"/>
      <c r="F714" s="76"/>
    </row>
    <row r="715" ht="15.75" customHeight="1">
      <c r="D715" s="76"/>
      <c r="E715" s="76"/>
      <c r="F715" s="76"/>
    </row>
    <row r="716" ht="15.75" customHeight="1">
      <c r="D716" s="76"/>
      <c r="E716" s="76"/>
      <c r="F716" s="76"/>
    </row>
    <row r="717" ht="15.75" customHeight="1">
      <c r="D717" s="76"/>
      <c r="E717" s="76"/>
      <c r="F717" s="76"/>
    </row>
    <row r="718" ht="15.75" customHeight="1">
      <c r="D718" s="76"/>
      <c r="E718" s="76"/>
      <c r="F718" s="76"/>
    </row>
    <row r="719" ht="15.75" customHeight="1">
      <c r="D719" s="76"/>
      <c r="E719" s="76"/>
      <c r="F719" s="76"/>
    </row>
    <row r="720" ht="15.75" customHeight="1">
      <c r="D720" s="76"/>
      <c r="E720" s="76"/>
      <c r="F720" s="76"/>
    </row>
    <row r="721" ht="15.75" customHeight="1">
      <c r="D721" s="76"/>
      <c r="E721" s="76"/>
      <c r="F721" s="76"/>
    </row>
    <row r="722" ht="15.75" customHeight="1">
      <c r="D722" s="76"/>
      <c r="E722" s="76"/>
      <c r="F722" s="76"/>
    </row>
    <row r="723" ht="15.75" customHeight="1">
      <c r="D723" s="76"/>
      <c r="E723" s="76"/>
      <c r="F723" s="76"/>
    </row>
    <row r="724" ht="15.75" customHeight="1">
      <c r="D724" s="76"/>
      <c r="E724" s="76"/>
      <c r="F724" s="76"/>
    </row>
    <row r="725" ht="15.75" customHeight="1">
      <c r="D725" s="76"/>
      <c r="E725" s="76"/>
      <c r="F725" s="76"/>
    </row>
    <row r="726" ht="15.75" customHeight="1">
      <c r="D726" s="76"/>
      <c r="E726" s="76"/>
      <c r="F726" s="76"/>
    </row>
    <row r="727" ht="15.75" customHeight="1">
      <c r="D727" s="76"/>
      <c r="E727" s="76"/>
      <c r="F727" s="76"/>
    </row>
    <row r="728" ht="15.75" customHeight="1">
      <c r="D728" s="76"/>
      <c r="E728" s="76"/>
      <c r="F728" s="76"/>
    </row>
    <row r="729" ht="15.75" customHeight="1">
      <c r="D729" s="76"/>
      <c r="E729" s="76"/>
      <c r="F729" s="76"/>
    </row>
    <row r="730" ht="15.75" customHeight="1">
      <c r="D730" s="76"/>
      <c r="E730" s="76"/>
      <c r="F730" s="76"/>
    </row>
    <row r="731" ht="15.75" customHeight="1">
      <c r="D731" s="76"/>
      <c r="E731" s="76"/>
      <c r="F731" s="76"/>
    </row>
    <row r="732" ht="15.75" customHeight="1">
      <c r="D732" s="76"/>
      <c r="E732" s="76"/>
      <c r="F732" s="76"/>
    </row>
    <row r="733" ht="15.75" customHeight="1">
      <c r="D733" s="76"/>
      <c r="E733" s="76"/>
      <c r="F733" s="76"/>
    </row>
    <row r="734" ht="15.75" customHeight="1">
      <c r="D734" s="76"/>
      <c r="E734" s="76"/>
      <c r="F734" s="76"/>
    </row>
    <row r="735" ht="15.75" customHeight="1">
      <c r="D735" s="76"/>
      <c r="E735" s="76"/>
      <c r="F735" s="76"/>
    </row>
    <row r="736" ht="15.75" customHeight="1">
      <c r="D736" s="76"/>
      <c r="E736" s="76"/>
      <c r="F736" s="76"/>
    </row>
    <row r="737" ht="15.75" customHeight="1">
      <c r="D737" s="76"/>
      <c r="E737" s="76"/>
      <c r="F737" s="76"/>
    </row>
    <row r="738" ht="15.75" customHeight="1">
      <c r="D738" s="76"/>
      <c r="E738" s="76"/>
      <c r="F738" s="76"/>
    </row>
    <row r="739" ht="15.75" customHeight="1">
      <c r="D739" s="76"/>
      <c r="E739" s="76"/>
      <c r="F739" s="76"/>
    </row>
    <row r="740" ht="15.75" customHeight="1">
      <c r="D740" s="76"/>
      <c r="E740" s="76"/>
      <c r="F740" s="76"/>
    </row>
    <row r="741" ht="15.75" customHeight="1">
      <c r="D741" s="76"/>
      <c r="E741" s="76"/>
      <c r="F741" s="76"/>
    </row>
    <row r="742" ht="15.75" customHeight="1">
      <c r="D742" s="76"/>
      <c r="E742" s="76"/>
      <c r="F742" s="76"/>
    </row>
    <row r="743" ht="15.75" customHeight="1">
      <c r="D743" s="76"/>
      <c r="E743" s="76"/>
      <c r="F743" s="76"/>
    </row>
    <row r="744" ht="15.75" customHeight="1">
      <c r="D744" s="76"/>
      <c r="E744" s="76"/>
      <c r="F744" s="76"/>
    </row>
    <row r="745" ht="15.75" customHeight="1">
      <c r="D745" s="76"/>
      <c r="E745" s="76"/>
      <c r="F745" s="76"/>
    </row>
    <row r="746" ht="15.75" customHeight="1">
      <c r="D746" s="76"/>
      <c r="E746" s="76"/>
      <c r="F746" s="76"/>
    </row>
    <row r="747" ht="15.75" customHeight="1">
      <c r="D747" s="76"/>
      <c r="E747" s="76"/>
      <c r="F747" s="76"/>
    </row>
    <row r="748" ht="15.75" customHeight="1">
      <c r="D748" s="76"/>
      <c r="E748" s="76"/>
      <c r="F748" s="76"/>
    </row>
    <row r="749" ht="15.75" customHeight="1">
      <c r="D749" s="76"/>
      <c r="E749" s="76"/>
      <c r="F749" s="76"/>
    </row>
    <row r="750" ht="15.75" customHeight="1">
      <c r="D750" s="76"/>
      <c r="E750" s="76"/>
      <c r="F750" s="76"/>
    </row>
    <row r="751" ht="15.75" customHeight="1">
      <c r="D751" s="76"/>
      <c r="E751" s="76"/>
      <c r="F751" s="76"/>
    </row>
    <row r="752" ht="15.75" customHeight="1">
      <c r="D752" s="76"/>
      <c r="E752" s="76"/>
      <c r="F752" s="76"/>
    </row>
    <row r="753" ht="15.75" customHeight="1">
      <c r="D753" s="76"/>
      <c r="E753" s="76"/>
      <c r="F753" s="76"/>
    </row>
    <row r="754" ht="15.75" customHeight="1">
      <c r="D754" s="76"/>
      <c r="E754" s="76"/>
      <c r="F754" s="76"/>
    </row>
    <row r="755" ht="15.75" customHeight="1">
      <c r="D755" s="76"/>
      <c r="E755" s="76"/>
      <c r="F755" s="76"/>
    </row>
    <row r="756" ht="15.75" customHeight="1">
      <c r="D756" s="76"/>
      <c r="E756" s="76"/>
      <c r="F756" s="76"/>
    </row>
    <row r="757" ht="15.75" customHeight="1">
      <c r="D757" s="76"/>
      <c r="E757" s="76"/>
      <c r="F757" s="76"/>
    </row>
    <row r="758" ht="15.75" customHeight="1">
      <c r="D758" s="76"/>
      <c r="E758" s="76"/>
      <c r="F758" s="76"/>
    </row>
    <row r="759" ht="15.75" customHeight="1">
      <c r="D759" s="76"/>
      <c r="E759" s="76"/>
      <c r="F759" s="76"/>
    </row>
    <row r="760" ht="15.75" customHeight="1">
      <c r="D760" s="76"/>
      <c r="E760" s="76"/>
      <c r="F760" s="76"/>
    </row>
    <row r="761" ht="15.75" customHeight="1">
      <c r="D761" s="76"/>
      <c r="E761" s="76"/>
      <c r="F761" s="76"/>
    </row>
    <row r="762" ht="15.75" customHeight="1">
      <c r="D762" s="76"/>
      <c r="E762" s="76"/>
      <c r="F762" s="76"/>
    </row>
    <row r="763" ht="15.75" customHeight="1">
      <c r="D763" s="76"/>
      <c r="E763" s="76"/>
      <c r="F763" s="76"/>
    </row>
    <row r="764" ht="15.75" customHeight="1">
      <c r="D764" s="76"/>
      <c r="E764" s="76"/>
      <c r="F764" s="76"/>
    </row>
    <row r="765" ht="15.75" customHeight="1">
      <c r="D765" s="76"/>
      <c r="E765" s="76"/>
      <c r="F765" s="76"/>
    </row>
    <row r="766" ht="15.75" customHeight="1">
      <c r="D766" s="76"/>
      <c r="E766" s="76"/>
      <c r="F766" s="76"/>
    </row>
    <row r="767" ht="15.75" customHeight="1">
      <c r="D767" s="76"/>
      <c r="E767" s="76"/>
      <c r="F767" s="76"/>
    </row>
    <row r="768" ht="15.75" customHeight="1">
      <c r="D768" s="76"/>
      <c r="E768" s="76"/>
      <c r="F768" s="76"/>
    </row>
    <row r="769" ht="15.75" customHeight="1">
      <c r="D769" s="76"/>
      <c r="E769" s="76"/>
      <c r="F769" s="76"/>
    </row>
    <row r="770" ht="15.75" customHeight="1">
      <c r="D770" s="76"/>
      <c r="E770" s="76"/>
      <c r="F770" s="76"/>
    </row>
    <row r="771" ht="15.75" customHeight="1">
      <c r="D771" s="76"/>
      <c r="E771" s="76"/>
      <c r="F771" s="76"/>
    </row>
    <row r="772" ht="15.75" customHeight="1">
      <c r="D772" s="76"/>
      <c r="E772" s="76"/>
      <c r="F772" s="76"/>
    </row>
    <row r="773" ht="15.75" customHeight="1">
      <c r="D773" s="76"/>
      <c r="E773" s="76"/>
      <c r="F773" s="76"/>
    </row>
    <row r="774" ht="15.75" customHeight="1">
      <c r="D774" s="76"/>
      <c r="E774" s="76"/>
      <c r="F774" s="76"/>
    </row>
    <row r="775" ht="15.75" customHeight="1">
      <c r="D775" s="76"/>
      <c r="E775" s="76"/>
      <c r="F775" s="76"/>
    </row>
    <row r="776" ht="15.75" customHeight="1">
      <c r="D776" s="76"/>
      <c r="E776" s="76"/>
      <c r="F776" s="76"/>
    </row>
    <row r="777" ht="15.75" customHeight="1">
      <c r="D777" s="76"/>
      <c r="E777" s="76"/>
      <c r="F777" s="76"/>
    </row>
    <row r="778" ht="15.75" customHeight="1">
      <c r="D778" s="76"/>
      <c r="E778" s="76"/>
      <c r="F778" s="76"/>
    </row>
    <row r="779" ht="15.75" customHeight="1">
      <c r="D779" s="76"/>
      <c r="E779" s="76"/>
      <c r="F779" s="76"/>
    </row>
    <row r="780" ht="15.75" customHeight="1">
      <c r="D780" s="76"/>
      <c r="E780" s="76"/>
      <c r="F780" s="76"/>
    </row>
    <row r="781" ht="15.75" customHeight="1">
      <c r="D781" s="76"/>
      <c r="E781" s="76"/>
      <c r="F781" s="76"/>
    </row>
    <row r="782" ht="15.75" customHeight="1">
      <c r="D782" s="76"/>
      <c r="E782" s="76"/>
      <c r="F782" s="76"/>
    </row>
    <row r="783" ht="15.75" customHeight="1">
      <c r="D783" s="76"/>
      <c r="E783" s="76"/>
      <c r="F783" s="76"/>
    </row>
    <row r="784" ht="15.75" customHeight="1">
      <c r="D784" s="76"/>
      <c r="E784" s="76"/>
      <c r="F784" s="76"/>
    </row>
    <row r="785" ht="15.75" customHeight="1">
      <c r="D785" s="76"/>
      <c r="E785" s="76"/>
      <c r="F785" s="76"/>
    </row>
    <row r="786" ht="15.75" customHeight="1">
      <c r="D786" s="76"/>
      <c r="E786" s="76"/>
      <c r="F786" s="76"/>
    </row>
    <row r="787" ht="15.75" customHeight="1">
      <c r="D787" s="76"/>
      <c r="E787" s="76"/>
      <c r="F787" s="76"/>
    </row>
    <row r="788" ht="15.75" customHeight="1">
      <c r="D788" s="76"/>
      <c r="E788" s="76"/>
      <c r="F788" s="76"/>
    </row>
    <row r="789" ht="15.75" customHeight="1">
      <c r="D789" s="76"/>
      <c r="E789" s="76"/>
      <c r="F789" s="76"/>
    </row>
    <row r="790" ht="15.75" customHeight="1">
      <c r="D790" s="76"/>
      <c r="E790" s="76"/>
      <c r="F790" s="76"/>
    </row>
    <row r="791" ht="15.75" customHeight="1">
      <c r="D791" s="76"/>
      <c r="E791" s="76"/>
      <c r="F791" s="76"/>
    </row>
    <row r="792" ht="15.75" customHeight="1">
      <c r="D792" s="76"/>
      <c r="E792" s="76"/>
      <c r="F792" s="76"/>
    </row>
    <row r="793" ht="15.75" customHeight="1">
      <c r="D793" s="76"/>
      <c r="E793" s="76"/>
      <c r="F793" s="76"/>
    </row>
    <row r="794" ht="15.75" customHeight="1">
      <c r="D794" s="76"/>
      <c r="E794" s="76"/>
      <c r="F794" s="76"/>
    </row>
    <row r="795" ht="15.75" customHeight="1">
      <c r="D795" s="76"/>
      <c r="E795" s="76"/>
      <c r="F795" s="76"/>
    </row>
    <row r="796" ht="15.75" customHeight="1">
      <c r="D796" s="76"/>
      <c r="E796" s="76"/>
      <c r="F796" s="76"/>
    </row>
    <row r="797" ht="15.75" customHeight="1">
      <c r="D797" s="76"/>
      <c r="E797" s="76"/>
      <c r="F797" s="76"/>
    </row>
    <row r="798" ht="15.75" customHeight="1">
      <c r="D798" s="76"/>
      <c r="E798" s="76"/>
      <c r="F798" s="76"/>
    </row>
    <row r="799" ht="15.75" customHeight="1">
      <c r="D799" s="76"/>
      <c r="E799" s="76"/>
      <c r="F799" s="76"/>
    </row>
    <row r="800" ht="15.75" customHeight="1">
      <c r="D800" s="76"/>
      <c r="E800" s="76"/>
      <c r="F800" s="76"/>
    </row>
    <row r="801" ht="15.75" customHeight="1">
      <c r="D801" s="76"/>
      <c r="E801" s="76"/>
      <c r="F801" s="76"/>
    </row>
    <row r="802" ht="15.75" customHeight="1">
      <c r="D802" s="76"/>
      <c r="E802" s="76"/>
      <c r="F802" s="76"/>
    </row>
    <row r="803" ht="15.75" customHeight="1">
      <c r="D803" s="76"/>
      <c r="E803" s="76"/>
      <c r="F803" s="76"/>
    </row>
    <row r="804" ht="15.75" customHeight="1">
      <c r="D804" s="76"/>
      <c r="E804" s="76"/>
      <c r="F804" s="76"/>
    </row>
    <row r="805" ht="15.75" customHeight="1">
      <c r="D805" s="76"/>
      <c r="E805" s="76"/>
      <c r="F805" s="76"/>
    </row>
    <row r="806" ht="15.75" customHeight="1">
      <c r="D806" s="76"/>
      <c r="E806" s="76"/>
      <c r="F806" s="76"/>
    </row>
    <row r="807" ht="15.75" customHeight="1">
      <c r="D807" s="76"/>
      <c r="E807" s="76"/>
      <c r="F807" s="76"/>
    </row>
    <row r="808" ht="15.75" customHeight="1">
      <c r="D808" s="76"/>
      <c r="E808" s="76"/>
      <c r="F808" s="76"/>
    </row>
    <row r="809" ht="15.75" customHeight="1">
      <c r="D809" s="76"/>
      <c r="E809" s="76"/>
      <c r="F809" s="76"/>
    </row>
    <row r="810" ht="15.75" customHeight="1">
      <c r="D810" s="76"/>
      <c r="E810" s="76"/>
      <c r="F810" s="76"/>
    </row>
    <row r="811" ht="15.75" customHeight="1">
      <c r="D811" s="76"/>
      <c r="E811" s="76"/>
      <c r="F811" s="76"/>
    </row>
    <row r="812" ht="15.75" customHeight="1">
      <c r="D812" s="76"/>
      <c r="E812" s="76"/>
      <c r="F812" s="76"/>
    </row>
    <row r="813" ht="15.75" customHeight="1">
      <c r="D813" s="76"/>
      <c r="E813" s="76"/>
      <c r="F813" s="76"/>
    </row>
    <row r="814" ht="15.75" customHeight="1">
      <c r="D814" s="76"/>
      <c r="E814" s="76"/>
      <c r="F814" s="76"/>
    </row>
    <row r="815" ht="15.75" customHeight="1">
      <c r="D815" s="76"/>
      <c r="E815" s="76"/>
      <c r="F815" s="76"/>
    </row>
    <row r="816" ht="15.75" customHeight="1">
      <c r="D816" s="76"/>
      <c r="E816" s="76"/>
      <c r="F816" s="76"/>
    </row>
    <row r="817" ht="15.75" customHeight="1">
      <c r="D817" s="76"/>
      <c r="E817" s="76"/>
      <c r="F817" s="76"/>
    </row>
    <row r="818" ht="15.75" customHeight="1">
      <c r="D818" s="76"/>
      <c r="E818" s="76"/>
      <c r="F818" s="76"/>
    </row>
    <row r="819" ht="15.75" customHeight="1">
      <c r="D819" s="76"/>
      <c r="E819" s="76"/>
      <c r="F819" s="76"/>
    </row>
    <row r="820" ht="15.75" customHeight="1">
      <c r="D820" s="76"/>
      <c r="E820" s="76"/>
      <c r="F820" s="76"/>
    </row>
    <row r="821" ht="15.75" customHeight="1">
      <c r="D821" s="76"/>
      <c r="E821" s="76"/>
      <c r="F821" s="76"/>
    </row>
    <row r="822" ht="15.75" customHeight="1">
      <c r="D822" s="76"/>
      <c r="E822" s="76"/>
      <c r="F822" s="76"/>
    </row>
    <row r="823" ht="15.75" customHeight="1">
      <c r="D823" s="76"/>
      <c r="E823" s="76"/>
      <c r="F823" s="76"/>
    </row>
    <row r="824" ht="15.75" customHeight="1">
      <c r="D824" s="76"/>
      <c r="E824" s="76"/>
      <c r="F824" s="76"/>
    </row>
    <row r="825" ht="15.75" customHeight="1">
      <c r="D825" s="76"/>
      <c r="E825" s="76"/>
      <c r="F825" s="76"/>
    </row>
    <row r="826" ht="15.75" customHeight="1">
      <c r="D826" s="76"/>
      <c r="E826" s="76"/>
      <c r="F826" s="76"/>
    </row>
    <row r="827" ht="15.75" customHeight="1">
      <c r="D827" s="76"/>
      <c r="E827" s="76"/>
      <c r="F827" s="76"/>
    </row>
    <row r="828" ht="15.75" customHeight="1">
      <c r="D828" s="76"/>
      <c r="E828" s="76"/>
      <c r="F828" s="76"/>
    </row>
    <row r="829" ht="15.75" customHeight="1">
      <c r="D829" s="76"/>
      <c r="E829" s="76"/>
      <c r="F829" s="76"/>
    </row>
    <row r="830" ht="15.75" customHeight="1">
      <c r="D830" s="76"/>
      <c r="E830" s="76"/>
      <c r="F830" s="76"/>
    </row>
    <row r="831" ht="15.75" customHeight="1">
      <c r="D831" s="76"/>
      <c r="E831" s="76"/>
      <c r="F831" s="76"/>
    </row>
    <row r="832" ht="15.75" customHeight="1">
      <c r="D832" s="76"/>
      <c r="E832" s="76"/>
      <c r="F832" s="76"/>
    </row>
    <row r="833" ht="15.75" customHeight="1">
      <c r="D833" s="76"/>
      <c r="E833" s="76"/>
      <c r="F833" s="76"/>
    </row>
    <row r="834" ht="15.75" customHeight="1">
      <c r="D834" s="76"/>
      <c r="E834" s="76"/>
      <c r="F834" s="76"/>
    </row>
    <row r="835" ht="15.75" customHeight="1">
      <c r="D835" s="76"/>
      <c r="E835" s="76"/>
      <c r="F835" s="76"/>
    </row>
    <row r="836" ht="15.75" customHeight="1">
      <c r="D836" s="76"/>
      <c r="E836" s="76"/>
      <c r="F836" s="76"/>
    </row>
    <row r="837" ht="15.75" customHeight="1">
      <c r="D837" s="76"/>
      <c r="E837" s="76"/>
      <c r="F837" s="76"/>
    </row>
    <row r="838" ht="15.75" customHeight="1">
      <c r="D838" s="76"/>
      <c r="E838" s="76"/>
      <c r="F838" s="76"/>
    </row>
    <row r="839" ht="15.75" customHeight="1">
      <c r="D839" s="76"/>
      <c r="E839" s="76"/>
      <c r="F839" s="76"/>
    </row>
    <row r="840" ht="15.75" customHeight="1">
      <c r="D840" s="76"/>
      <c r="E840" s="76"/>
      <c r="F840" s="76"/>
    </row>
    <row r="841" ht="15.75" customHeight="1">
      <c r="D841" s="76"/>
      <c r="E841" s="76"/>
      <c r="F841" s="76"/>
    </row>
    <row r="842" ht="15.75" customHeight="1">
      <c r="D842" s="76"/>
      <c r="E842" s="76"/>
      <c r="F842" s="76"/>
    </row>
    <row r="843" ht="15.75" customHeight="1">
      <c r="D843" s="76"/>
      <c r="E843" s="76"/>
      <c r="F843" s="76"/>
    </row>
    <row r="844" ht="15.75" customHeight="1">
      <c r="D844" s="76"/>
      <c r="E844" s="76"/>
      <c r="F844" s="76"/>
    </row>
    <row r="845" ht="15.75" customHeight="1">
      <c r="D845" s="76"/>
      <c r="E845" s="76"/>
      <c r="F845" s="76"/>
    </row>
    <row r="846" ht="15.75" customHeight="1">
      <c r="D846" s="76"/>
      <c r="E846" s="76"/>
      <c r="F846" s="76"/>
    </row>
    <row r="847" ht="15.75" customHeight="1">
      <c r="D847" s="76"/>
      <c r="E847" s="76"/>
      <c r="F847" s="76"/>
    </row>
    <row r="848" ht="15.75" customHeight="1">
      <c r="D848" s="76"/>
      <c r="E848" s="76"/>
      <c r="F848" s="76"/>
    </row>
    <row r="849" ht="15.75" customHeight="1">
      <c r="D849" s="76"/>
      <c r="E849" s="76"/>
      <c r="F849" s="76"/>
    </row>
    <row r="850" ht="15.75" customHeight="1">
      <c r="D850" s="76"/>
      <c r="E850" s="76"/>
      <c r="F850" s="76"/>
    </row>
    <row r="851" ht="15.75" customHeight="1">
      <c r="D851" s="76"/>
      <c r="E851" s="76"/>
      <c r="F851" s="76"/>
    </row>
    <row r="852" ht="15.75" customHeight="1">
      <c r="D852" s="76"/>
      <c r="E852" s="76"/>
      <c r="F852" s="76"/>
    </row>
    <row r="853" ht="15.75" customHeight="1">
      <c r="D853" s="76"/>
      <c r="E853" s="76"/>
      <c r="F853" s="76"/>
    </row>
    <row r="854" ht="15.75" customHeight="1">
      <c r="D854" s="76"/>
      <c r="E854" s="76"/>
      <c r="F854" s="76"/>
    </row>
    <row r="855" ht="15.75" customHeight="1">
      <c r="D855" s="76"/>
      <c r="E855" s="76"/>
      <c r="F855" s="76"/>
    </row>
    <row r="856" ht="15.75" customHeight="1">
      <c r="D856" s="76"/>
      <c r="E856" s="76"/>
      <c r="F856" s="76"/>
    </row>
    <row r="857" ht="15.75" customHeight="1">
      <c r="D857" s="76"/>
      <c r="E857" s="76"/>
      <c r="F857" s="76"/>
    </row>
    <row r="858" ht="15.75" customHeight="1">
      <c r="D858" s="76"/>
      <c r="E858" s="76"/>
      <c r="F858" s="76"/>
    </row>
    <row r="859" ht="15.75" customHeight="1">
      <c r="D859" s="76"/>
      <c r="E859" s="76"/>
      <c r="F859" s="76"/>
    </row>
    <row r="860" ht="15.75" customHeight="1">
      <c r="D860" s="76"/>
      <c r="E860" s="76"/>
      <c r="F860" s="76"/>
    </row>
    <row r="861" ht="15.75" customHeight="1">
      <c r="D861" s="76"/>
      <c r="E861" s="76"/>
      <c r="F861" s="76"/>
    </row>
    <row r="862" ht="15.75" customHeight="1">
      <c r="D862" s="76"/>
      <c r="E862" s="76"/>
      <c r="F862" s="76"/>
    </row>
    <row r="863" ht="15.75" customHeight="1">
      <c r="D863" s="76"/>
      <c r="E863" s="76"/>
      <c r="F863" s="76"/>
    </row>
    <row r="864" ht="15.75" customHeight="1">
      <c r="D864" s="76"/>
      <c r="E864" s="76"/>
      <c r="F864" s="76"/>
    </row>
    <row r="865" ht="15.75" customHeight="1">
      <c r="D865" s="76"/>
      <c r="E865" s="76"/>
      <c r="F865" s="76"/>
    </row>
    <row r="866" ht="15.75" customHeight="1">
      <c r="D866" s="76"/>
      <c r="E866" s="76"/>
      <c r="F866" s="76"/>
    </row>
    <row r="867" ht="15.75" customHeight="1">
      <c r="D867" s="76"/>
      <c r="E867" s="76"/>
      <c r="F867" s="76"/>
    </row>
    <row r="868" ht="15.75" customHeight="1">
      <c r="D868" s="76"/>
      <c r="E868" s="76"/>
      <c r="F868" s="76"/>
    </row>
    <row r="869" ht="15.75" customHeight="1">
      <c r="D869" s="76"/>
      <c r="E869" s="76"/>
      <c r="F869" s="76"/>
    </row>
    <row r="870" ht="15.75" customHeight="1">
      <c r="D870" s="76"/>
      <c r="E870" s="76"/>
      <c r="F870" s="76"/>
    </row>
    <row r="871" ht="15.75" customHeight="1">
      <c r="D871" s="76"/>
      <c r="E871" s="76"/>
      <c r="F871" s="76"/>
    </row>
    <row r="872" ht="15.75" customHeight="1">
      <c r="D872" s="76"/>
      <c r="E872" s="76"/>
      <c r="F872" s="76"/>
    </row>
    <row r="873" ht="15.75" customHeight="1">
      <c r="D873" s="76"/>
      <c r="E873" s="76"/>
      <c r="F873" s="76"/>
    </row>
    <row r="874" ht="15.75" customHeight="1">
      <c r="D874" s="76"/>
      <c r="E874" s="76"/>
      <c r="F874" s="76"/>
    </row>
    <row r="875" ht="15.75" customHeight="1">
      <c r="D875" s="76"/>
      <c r="E875" s="76"/>
      <c r="F875" s="76"/>
    </row>
    <row r="876" ht="15.75" customHeight="1">
      <c r="D876" s="76"/>
      <c r="E876" s="76"/>
      <c r="F876" s="76"/>
    </row>
    <row r="877" ht="15.75" customHeight="1">
      <c r="D877" s="76"/>
      <c r="E877" s="76"/>
      <c r="F877" s="76"/>
    </row>
    <row r="878" ht="15.75" customHeight="1">
      <c r="D878" s="76"/>
      <c r="E878" s="76"/>
      <c r="F878" s="76"/>
    </row>
    <row r="879" ht="15.75" customHeight="1">
      <c r="D879" s="76"/>
      <c r="E879" s="76"/>
      <c r="F879" s="76"/>
    </row>
    <row r="880" ht="15.75" customHeight="1">
      <c r="D880" s="76"/>
      <c r="E880" s="76"/>
      <c r="F880" s="76"/>
    </row>
    <row r="881" ht="15.75" customHeight="1">
      <c r="D881" s="76"/>
      <c r="E881" s="76"/>
      <c r="F881" s="76"/>
    </row>
    <row r="882" ht="15.75" customHeight="1">
      <c r="D882" s="76"/>
      <c r="E882" s="76"/>
      <c r="F882" s="76"/>
    </row>
    <row r="883" ht="15.75" customHeight="1">
      <c r="D883" s="76"/>
      <c r="E883" s="76"/>
      <c r="F883" s="76"/>
    </row>
    <row r="884" ht="15.75" customHeight="1">
      <c r="D884" s="76"/>
      <c r="E884" s="76"/>
      <c r="F884" s="76"/>
    </row>
    <row r="885" ht="15.75" customHeight="1">
      <c r="D885" s="76"/>
      <c r="E885" s="76"/>
      <c r="F885" s="76"/>
    </row>
    <row r="886" ht="15.75" customHeight="1">
      <c r="D886" s="76"/>
      <c r="E886" s="76"/>
      <c r="F886" s="76"/>
    </row>
    <row r="887" ht="15.75" customHeight="1">
      <c r="D887" s="76"/>
      <c r="E887" s="76"/>
      <c r="F887" s="76"/>
    </row>
    <row r="888" ht="15.75" customHeight="1">
      <c r="D888" s="76"/>
      <c r="E888" s="76"/>
      <c r="F888" s="76"/>
    </row>
    <row r="889" ht="15.75" customHeight="1">
      <c r="D889" s="76"/>
      <c r="E889" s="76"/>
      <c r="F889" s="76"/>
    </row>
    <row r="890" ht="15.75" customHeight="1">
      <c r="D890" s="76"/>
      <c r="E890" s="76"/>
      <c r="F890" s="76"/>
    </row>
    <row r="891" ht="15.75" customHeight="1">
      <c r="D891" s="76"/>
      <c r="E891" s="76"/>
      <c r="F891" s="76"/>
    </row>
    <row r="892" ht="15.75" customHeight="1">
      <c r="D892" s="76"/>
      <c r="E892" s="76"/>
      <c r="F892" s="76"/>
    </row>
    <row r="893" ht="15.75" customHeight="1">
      <c r="D893" s="76"/>
      <c r="E893" s="76"/>
      <c r="F893" s="76"/>
    </row>
    <row r="894" ht="15.75" customHeight="1">
      <c r="D894" s="76"/>
      <c r="E894" s="76"/>
      <c r="F894" s="76"/>
    </row>
    <row r="895" ht="15.75" customHeight="1">
      <c r="D895" s="76"/>
      <c r="E895" s="76"/>
      <c r="F895" s="76"/>
    </row>
    <row r="896" ht="15.75" customHeight="1">
      <c r="D896" s="76"/>
      <c r="E896" s="76"/>
      <c r="F896" s="76"/>
    </row>
    <row r="897" ht="15.75" customHeight="1">
      <c r="D897" s="76"/>
      <c r="E897" s="76"/>
      <c r="F897" s="76"/>
    </row>
    <row r="898" ht="15.75" customHeight="1">
      <c r="D898" s="76"/>
      <c r="E898" s="76"/>
      <c r="F898" s="76"/>
    </row>
    <row r="899" ht="15.75" customHeight="1">
      <c r="D899" s="76"/>
      <c r="E899" s="76"/>
      <c r="F899" s="76"/>
    </row>
    <row r="900" ht="15.75" customHeight="1">
      <c r="D900" s="76"/>
      <c r="E900" s="76"/>
      <c r="F900" s="76"/>
    </row>
    <row r="901" ht="15.75" customHeight="1">
      <c r="D901" s="76"/>
      <c r="E901" s="76"/>
      <c r="F901" s="76"/>
    </row>
    <row r="902" ht="15.75" customHeight="1">
      <c r="D902" s="76"/>
      <c r="E902" s="76"/>
      <c r="F902" s="76"/>
    </row>
    <row r="903" ht="15.75" customHeight="1">
      <c r="D903" s="76"/>
      <c r="E903" s="76"/>
      <c r="F903" s="76"/>
    </row>
    <row r="904" ht="15.75" customHeight="1">
      <c r="D904" s="76"/>
      <c r="E904" s="76"/>
      <c r="F904" s="76"/>
    </row>
    <row r="905" ht="15.75" customHeight="1">
      <c r="D905" s="76"/>
      <c r="E905" s="76"/>
      <c r="F905" s="76"/>
    </row>
    <row r="906" ht="15.75" customHeight="1">
      <c r="D906" s="76"/>
      <c r="E906" s="76"/>
      <c r="F906" s="76"/>
    </row>
    <row r="907" ht="15.75" customHeight="1">
      <c r="D907" s="76"/>
      <c r="E907" s="76"/>
      <c r="F907" s="76"/>
    </row>
    <row r="908" ht="15.75" customHeight="1">
      <c r="D908" s="76"/>
      <c r="E908" s="76"/>
      <c r="F908" s="76"/>
    </row>
    <row r="909" ht="15.75" customHeight="1">
      <c r="D909" s="76"/>
      <c r="E909" s="76"/>
      <c r="F909" s="76"/>
    </row>
    <row r="910" ht="15.75" customHeight="1">
      <c r="D910" s="76"/>
      <c r="E910" s="76"/>
      <c r="F910" s="76"/>
    </row>
    <row r="911" ht="15.75" customHeight="1">
      <c r="D911" s="76"/>
      <c r="E911" s="76"/>
      <c r="F911" s="76"/>
    </row>
    <row r="912" ht="15.75" customHeight="1">
      <c r="D912" s="76"/>
      <c r="E912" s="76"/>
      <c r="F912" s="76"/>
    </row>
    <row r="913" ht="15.75" customHeight="1">
      <c r="D913" s="76"/>
      <c r="E913" s="76"/>
      <c r="F913" s="76"/>
    </row>
    <row r="914" ht="15.75" customHeight="1">
      <c r="D914" s="76"/>
      <c r="E914" s="76"/>
      <c r="F914" s="76"/>
    </row>
    <row r="915" ht="15.75" customHeight="1">
      <c r="D915" s="76"/>
      <c r="E915" s="76"/>
      <c r="F915" s="76"/>
    </row>
    <row r="916" ht="15.75" customHeight="1">
      <c r="D916" s="76"/>
      <c r="E916" s="76"/>
      <c r="F916" s="76"/>
    </row>
    <row r="917" ht="15.75" customHeight="1">
      <c r="D917" s="76"/>
      <c r="E917" s="76"/>
      <c r="F917" s="76"/>
    </row>
    <row r="918" ht="15.75" customHeight="1">
      <c r="D918" s="76"/>
      <c r="E918" s="76"/>
      <c r="F918" s="76"/>
    </row>
    <row r="919" ht="15.75" customHeight="1">
      <c r="D919" s="76"/>
      <c r="E919" s="76"/>
      <c r="F919" s="76"/>
    </row>
    <row r="920" ht="15.75" customHeight="1">
      <c r="D920" s="76"/>
      <c r="E920" s="76"/>
      <c r="F920" s="76"/>
    </row>
    <row r="921" ht="15.75" customHeight="1">
      <c r="D921" s="76"/>
      <c r="E921" s="76"/>
      <c r="F921" s="76"/>
    </row>
    <row r="922" ht="15.75" customHeight="1">
      <c r="D922" s="76"/>
      <c r="E922" s="76"/>
      <c r="F922" s="76"/>
    </row>
    <row r="923" ht="15.75" customHeight="1">
      <c r="D923" s="76"/>
      <c r="E923" s="76"/>
      <c r="F923" s="76"/>
    </row>
    <row r="924" ht="15.75" customHeight="1">
      <c r="D924" s="76"/>
      <c r="E924" s="76"/>
      <c r="F924" s="76"/>
    </row>
    <row r="925" ht="15.75" customHeight="1">
      <c r="D925" s="76"/>
      <c r="E925" s="76"/>
      <c r="F925" s="76"/>
    </row>
    <row r="926" ht="15.75" customHeight="1">
      <c r="D926" s="76"/>
      <c r="E926" s="76"/>
      <c r="F926" s="76"/>
    </row>
    <row r="927" ht="15.75" customHeight="1">
      <c r="D927" s="76"/>
      <c r="E927" s="76"/>
      <c r="F927" s="76"/>
    </row>
    <row r="928" ht="15.75" customHeight="1">
      <c r="D928" s="76"/>
      <c r="E928" s="76"/>
      <c r="F928" s="76"/>
    </row>
    <row r="929" ht="15.75" customHeight="1">
      <c r="D929" s="76"/>
      <c r="E929" s="76"/>
      <c r="F929" s="76"/>
    </row>
    <row r="930" ht="15.75" customHeight="1">
      <c r="D930" s="76"/>
      <c r="E930" s="76"/>
      <c r="F930" s="76"/>
    </row>
    <row r="931" ht="15.75" customHeight="1">
      <c r="D931" s="76"/>
      <c r="E931" s="76"/>
      <c r="F931" s="76"/>
    </row>
    <row r="932" ht="15.75" customHeight="1">
      <c r="D932" s="76"/>
      <c r="E932" s="76"/>
      <c r="F932" s="76"/>
    </row>
    <row r="933" ht="15.75" customHeight="1">
      <c r="D933" s="76"/>
      <c r="E933" s="76"/>
      <c r="F933" s="76"/>
    </row>
    <row r="934" ht="15.75" customHeight="1">
      <c r="D934" s="76"/>
      <c r="E934" s="76"/>
      <c r="F934" s="76"/>
    </row>
    <row r="935" ht="15.75" customHeight="1">
      <c r="D935" s="76"/>
      <c r="E935" s="76"/>
      <c r="F935" s="76"/>
    </row>
    <row r="936" ht="15.75" customHeight="1">
      <c r="D936" s="76"/>
      <c r="E936" s="76"/>
      <c r="F936" s="76"/>
    </row>
    <row r="937" ht="15.75" customHeight="1">
      <c r="D937" s="76"/>
      <c r="E937" s="76"/>
      <c r="F937" s="76"/>
    </row>
    <row r="938" ht="15.75" customHeight="1">
      <c r="D938" s="76"/>
      <c r="E938" s="76"/>
      <c r="F938" s="76"/>
    </row>
    <row r="939" ht="15.75" customHeight="1">
      <c r="D939" s="76"/>
      <c r="E939" s="76"/>
      <c r="F939" s="76"/>
    </row>
    <row r="940" ht="15.75" customHeight="1">
      <c r="D940" s="76"/>
      <c r="E940" s="76"/>
      <c r="F940" s="76"/>
    </row>
    <row r="941" ht="15.75" customHeight="1">
      <c r="D941" s="76"/>
      <c r="E941" s="76"/>
      <c r="F941" s="76"/>
    </row>
    <row r="942" ht="15.75" customHeight="1">
      <c r="D942" s="76"/>
      <c r="E942" s="76"/>
      <c r="F942" s="76"/>
    </row>
    <row r="943" ht="15.75" customHeight="1">
      <c r="D943" s="76"/>
      <c r="E943" s="76"/>
      <c r="F943" s="76"/>
    </row>
    <row r="944" ht="15.75" customHeight="1">
      <c r="D944" s="76"/>
      <c r="E944" s="76"/>
      <c r="F944" s="76"/>
    </row>
    <row r="945" ht="15.75" customHeight="1">
      <c r="D945" s="76"/>
      <c r="E945" s="76"/>
      <c r="F945" s="76"/>
    </row>
    <row r="946" ht="15.75" customHeight="1">
      <c r="D946" s="76"/>
      <c r="E946" s="76"/>
      <c r="F946" s="76"/>
    </row>
    <row r="947" ht="15.75" customHeight="1">
      <c r="D947" s="76"/>
      <c r="E947" s="76"/>
      <c r="F947" s="76"/>
    </row>
    <row r="948" ht="15.75" customHeight="1">
      <c r="D948" s="76"/>
      <c r="E948" s="76"/>
      <c r="F948" s="76"/>
    </row>
    <row r="949" ht="15.75" customHeight="1">
      <c r="D949" s="76"/>
      <c r="E949" s="76"/>
      <c r="F949" s="76"/>
    </row>
    <row r="950" ht="15.75" customHeight="1">
      <c r="D950" s="76"/>
      <c r="E950" s="76"/>
      <c r="F950" s="76"/>
    </row>
    <row r="951" ht="15.75" customHeight="1">
      <c r="D951" s="76"/>
      <c r="E951" s="76"/>
      <c r="F951" s="76"/>
    </row>
    <row r="952" ht="15.75" customHeight="1">
      <c r="D952" s="76"/>
      <c r="E952" s="76"/>
      <c r="F952" s="76"/>
    </row>
    <row r="953" ht="15.75" customHeight="1">
      <c r="D953" s="76"/>
      <c r="E953" s="76"/>
      <c r="F953" s="76"/>
    </row>
    <row r="954" ht="15.75" customHeight="1">
      <c r="D954" s="76"/>
      <c r="E954" s="76"/>
      <c r="F954" s="76"/>
    </row>
    <row r="955" ht="15.75" customHeight="1">
      <c r="D955" s="76"/>
      <c r="E955" s="76"/>
      <c r="F955" s="76"/>
    </row>
    <row r="956" ht="15.75" customHeight="1">
      <c r="D956" s="76"/>
      <c r="E956" s="76"/>
      <c r="F956" s="76"/>
    </row>
    <row r="957" ht="15.75" customHeight="1">
      <c r="D957" s="76"/>
      <c r="E957" s="76"/>
      <c r="F957" s="76"/>
    </row>
    <row r="958" ht="15.75" customHeight="1">
      <c r="D958" s="76"/>
      <c r="E958" s="76"/>
      <c r="F958" s="76"/>
    </row>
    <row r="959" ht="15.75" customHeight="1">
      <c r="D959" s="76"/>
      <c r="E959" s="76"/>
      <c r="F959" s="76"/>
    </row>
    <row r="960" ht="15.75" customHeight="1">
      <c r="D960" s="76"/>
      <c r="E960" s="76"/>
      <c r="F960" s="76"/>
    </row>
    <row r="961" ht="15.75" customHeight="1">
      <c r="D961" s="76"/>
      <c r="E961" s="76"/>
      <c r="F961" s="76"/>
    </row>
    <row r="962" ht="15.75" customHeight="1">
      <c r="D962" s="76"/>
      <c r="E962" s="76"/>
      <c r="F962" s="76"/>
    </row>
    <row r="963" ht="15.75" customHeight="1">
      <c r="D963" s="76"/>
      <c r="E963" s="76"/>
      <c r="F963" s="76"/>
    </row>
    <row r="964" ht="15.75" customHeight="1">
      <c r="D964" s="76"/>
      <c r="E964" s="76"/>
      <c r="F964" s="76"/>
    </row>
    <row r="965" ht="15.75" customHeight="1">
      <c r="D965" s="76"/>
      <c r="E965" s="76"/>
      <c r="F965" s="76"/>
    </row>
    <row r="966" ht="15.75" customHeight="1">
      <c r="D966" s="76"/>
      <c r="E966" s="76"/>
      <c r="F966" s="76"/>
    </row>
    <row r="967" ht="15.75" customHeight="1">
      <c r="D967" s="76"/>
      <c r="E967" s="76"/>
      <c r="F967" s="76"/>
    </row>
    <row r="968" ht="15.75" customHeight="1">
      <c r="D968" s="76"/>
      <c r="E968" s="76"/>
      <c r="F968" s="76"/>
    </row>
    <row r="969" ht="15.75" customHeight="1">
      <c r="D969" s="76"/>
      <c r="E969" s="76"/>
      <c r="F969" s="76"/>
    </row>
    <row r="970" ht="15.75" customHeight="1">
      <c r="D970" s="76"/>
      <c r="E970" s="76"/>
      <c r="F970" s="76"/>
    </row>
    <row r="971" ht="15.75" customHeight="1">
      <c r="D971" s="76"/>
      <c r="E971" s="76"/>
      <c r="F971" s="76"/>
    </row>
    <row r="972" ht="15.75" customHeight="1">
      <c r="D972" s="76"/>
      <c r="E972" s="76"/>
      <c r="F972" s="76"/>
    </row>
    <row r="973" ht="15.75" customHeight="1">
      <c r="D973" s="76"/>
      <c r="E973" s="76"/>
      <c r="F973" s="76"/>
    </row>
    <row r="974" ht="15.75" customHeight="1">
      <c r="D974" s="76"/>
      <c r="E974" s="76"/>
      <c r="F974" s="76"/>
    </row>
    <row r="975" ht="15.75" customHeight="1">
      <c r="D975" s="76"/>
      <c r="E975" s="76"/>
      <c r="F975" s="76"/>
    </row>
    <row r="976" ht="15.75" customHeight="1">
      <c r="D976" s="76"/>
      <c r="E976" s="76"/>
      <c r="F976" s="76"/>
    </row>
    <row r="977" ht="15.75" customHeight="1">
      <c r="D977" s="76"/>
      <c r="E977" s="76"/>
      <c r="F977" s="76"/>
    </row>
    <row r="978" ht="15.75" customHeight="1">
      <c r="D978" s="76"/>
      <c r="E978" s="76"/>
      <c r="F978" s="76"/>
    </row>
    <row r="979" ht="15.75" customHeight="1">
      <c r="D979" s="76"/>
      <c r="E979" s="76"/>
      <c r="F979" s="76"/>
    </row>
    <row r="980" ht="15.75" customHeight="1">
      <c r="D980" s="76"/>
      <c r="E980" s="76"/>
      <c r="F980" s="76"/>
    </row>
    <row r="981" ht="15.75" customHeight="1">
      <c r="D981" s="76"/>
      <c r="E981" s="76"/>
      <c r="F981" s="76"/>
    </row>
    <row r="982" ht="15.75" customHeight="1">
      <c r="D982" s="76"/>
      <c r="E982" s="76"/>
      <c r="F982" s="76"/>
    </row>
    <row r="983" ht="15.75" customHeight="1">
      <c r="D983" s="76"/>
      <c r="E983" s="76"/>
      <c r="F983" s="76"/>
    </row>
    <row r="984" ht="15.75" customHeight="1">
      <c r="D984" s="76"/>
      <c r="E984" s="76"/>
      <c r="F984" s="76"/>
    </row>
    <row r="985" ht="15.75" customHeight="1">
      <c r="D985" s="76"/>
      <c r="E985" s="76"/>
      <c r="F985" s="76"/>
    </row>
    <row r="986" ht="15.75" customHeight="1">
      <c r="D986" s="76"/>
      <c r="E986" s="76"/>
      <c r="F986" s="76"/>
    </row>
    <row r="987" ht="15.75" customHeight="1">
      <c r="D987" s="76"/>
      <c r="E987" s="76"/>
      <c r="F987" s="76"/>
    </row>
    <row r="988" ht="15.75" customHeight="1">
      <c r="D988" s="76"/>
      <c r="E988" s="76"/>
      <c r="F988" s="76"/>
    </row>
    <row r="989" ht="15.75" customHeight="1">
      <c r="D989" s="76"/>
      <c r="E989" s="76"/>
      <c r="F989" s="76"/>
    </row>
    <row r="990" ht="15.75" customHeight="1">
      <c r="D990" s="76"/>
      <c r="E990" s="76"/>
      <c r="F990" s="76"/>
    </row>
    <row r="991" ht="15.75" customHeight="1">
      <c r="D991" s="76"/>
      <c r="E991" s="76"/>
      <c r="F991" s="76"/>
    </row>
    <row r="992" ht="15.75" customHeight="1">
      <c r="D992" s="76"/>
      <c r="E992" s="76"/>
      <c r="F992" s="76"/>
    </row>
    <row r="993" ht="15.75" customHeight="1">
      <c r="D993" s="76"/>
      <c r="E993" s="76"/>
      <c r="F993" s="76"/>
    </row>
    <row r="994" ht="15.75" customHeight="1">
      <c r="D994" s="76"/>
      <c r="E994" s="76"/>
      <c r="F994" s="76"/>
    </row>
    <row r="995" ht="15.75" customHeight="1">
      <c r="D995" s="76"/>
      <c r="E995" s="76"/>
      <c r="F995" s="76"/>
    </row>
    <row r="996" ht="15.75" customHeight="1">
      <c r="D996" s="76"/>
      <c r="E996" s="76"/>
      <c r="F996" s="76"/>
    </row>
    <row r="997" ht="15.75" customHeight="1">
      <c r="D997" s="76"/>
      <c r="E997" s="76"/>
      <c r="F997" s="76"/>
    </row>
    <row r="998" ht="15.75" customHeight="1">
      <c r="D998" s="76"/>
      <c r="E998" s="76"/>
      <c r="F998" s="76"/>
    </row>
    <row r="999" ht="15.75" customHeight="1">
      <c r="D999" s="76"/>
      <c r="E999" s="76"/>
      <c r="F999" s="76"/>
    </row>
    <row r="1000" ht="15.75" customHeight="1">
      <c r="D1000" s="76"/>
      <c r="E1000" s="76"/>
      <c r="F1000" s="76"/>
    </row>
  </sheetData>
  <mergeCells count="4">
    <mergeCell ref="A1:I1"/>
    <mergeCell ref="A2:I2"/>
    <mergeCell ref="A3:B3"/>
    <mergeCell ref="D3:E3"/>
  </mergeCells>
  <dataValidations>
    <dataValidation type="list" allowBlank="1" sqref="H6:H35">
      <formula1>"Sesuai,Parsial,Tidak,N/A"</formula1>
    </dataValidation>
  </dataValidations>
  <printOptions/>
  <pageMargins bottom="0.75" footer="0.0" header="0.0" left="0.7" right="0.7" top="0.75"/>
  <pageSetup orientation="landscape"/>
  <drawing r:id="rId1"/>
  <tableParts count="1">
    <tablePart r:id="rId3"/>
  </tableParts>
</worksheet>
</file>